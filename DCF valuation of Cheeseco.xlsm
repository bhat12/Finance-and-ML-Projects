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29" codeName="{4470D2CD-2249-CD33-4A35-6F278624656F}"/>
  <workbookPr filterPrivacy="1" codeName="ThisWorkbook" defaultThemeVersion="124226"/>
  <xr:revisionPtr revIDLastSave="0" documentId="8_{CCCEC39F-8D96-405F-8EEA-C47F5747C243}" xr6:coauthVersionLast="45" xr6:coauthVersionMax="45" xr10:uidLastSave="{00000000-0000-0000-0000-000000000000}"/>
  <bookViews>
    <workbookView xWindow="-108" yWindow="-108" windowWidth="23256" windowHeight="12576" firstSheet="8" activeTab="17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20" r:id="rId11"/>
    <sheet name="Cash flows" sheetId="21" r:id="rId12"/>
    <sheet name="Ebitda bridge" sheetId="22" r:id="rId13"/>
    <sheet name="Working capital" sheetId="23" r:id="rId14"/>
    <sheet name="DCF results" sheetId="24" r:id="rId15"/>
    <sheet name="4.Sources --&gt;" sheetId="1" r:id="rId16"/>
    <sheet name="P&amp;L source" sheetId="2" r:id="rId17"/>
    <sheet name="BS source" sheetId="3" r:id="rId18"/>
  </sheets>
  <externalReferences>
    <externalReference r:id="rId1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1" i="23" l="1"/>
  <c r="J11" i="23"/>
  <c r="I11" i="23"/>
  <c r="H11" i="23"/>
  <c r="G11" i="23"/>
  <c r="E11" i="23"/>
  <c r="D11" i="23"/>
  <c r="C11" i="23"/>
  <c r="K10" i="23"/>
  <c r="J10" i="23"/>
  <c r="I10" i="23"/>
  <c r="H10" i="23"/>
  <c r="G10" i="23"/>
  <c r="E10" i="23"/>
  <c r="D10" i="23"/>
  <c r="C10" i="23"/>
  <c r="K9" i="23"/>
  <c r="J9" i="23"/>
  <c r="I9" i="23"/>
  <c r="H9" i="23"/>
  <c r="G9" i="23"/>
  <c r="E9" i="23"/>
  <c r="D9" i="23"/>
  <c r="C9" i="23"/>
  <c r="E6" i="23"/>
  <c r="D6" i="23"/>
  <c r="C6" i="23"/>
  <c r="B6" i="23"/>
  <c r="E5" i="23"/>
  <c r="D5" i="23"/>
  <c r="C5" i="23"/>
  <c r="B5" i="23"/>
  <c r="E4" i="23"/>
  <c r="D4" i="23"/>
  <c r="C4" i="23"/>
  <c r="C7" i="23" s="1"/>
  <c r="B4" i="23"/>
  <c r="K3" i="23"/>
  <c r="J3" i="23"/>
  <c r="I3" i="23"/>
  <c r="H3" i="23"/>
  <c r="G3" i="23"/>
  <c r="E3" i="23"/>
  <c r="D3" i="23"/>
  <c r="C3" i="23"/>
  <c r="B3" i="23"/>
  <c r="C3" i="22"/>
  <c r="K2" i="22" s="1"/>
  <c r="L2" i="22" s="1"/>
  <c r="E5" i="20"/>
  <c r="D5" i="20"/>
  <c r="E4" i="20"/>
  <c r="D4" i="20"/>
  <c r="B4" i="20"/>
  <c r="K3" i="20"/>
  <c r="J3" i="20"/>
  <c r="I3" i="20"/>
  <c r="H3" i="20"/>
  <c r="G3" i="20"/>
  <c r="E3" i="20"/>
  <c r="D3" i="20"/>
  <c r="C3" i="20"/>
  <c r="B3" i="20"/>
  <c r="D7" i="23"/>
  <c r="E7" i="23"/>
  <c r="O4" i="22"/>
  <c r="N4" i="22"/>
  <c r="M4" i="22"/>
  <c r="L4" i="22"/>
  <c r="K4" i="22"/>
  <c r="E6" i="20"/>
  <c r="D6" i="20"/>
  <c r="C20" i="11" l="1"/>
  <c r="C19" i="11"/>
  <c r="K10" i="11" l="1"/>
  <c r="J10" i="11"/>
  <c r="I10" i="11"/>
  <c r="H10" i="11"/>
  <c r="G10" i="11"/>
  <c r="E8" i="11"/>
  <c r="D8" i="11"/>
  <c r="K27" i="6" l="1"/>
  <c r="J27" i="6"/>
  <c r="I27" i="6"/>
  <c r="K19" i="6"/>
  <c r="J19" i="6"/>
  <c r="I19" i="6"/>
  <c r="H27" i="6"/>
  <c r="H19" i="6"/>
  <c r="G31" i="6"/>
  <c r="G27" i="6"/>
  <c r="G19" i="6"/>
  <c r="E34" i="6"/>
  <c r="E31" i="6"/>
  <c r="E28" i="6"/>
  <c r="E27" i="6"/>
  <c r="E25" i="6"/>
  <c r="E21" i="6"/>
  <c r="E19" i="6"/>
  <c r="E18" i="6"/>
  <c r="E16" i="6"/>
  <c r="E14" i="6"/>
  <c r="E13" i="6"/>
  <c r="E12" i="6"/>
  <c r="E15" i="6" s="1"/>
  <c r="E9" i="6"/>
  <c r="E6" i="6"/>
  <c r="E5" i="6"/>
  <c r="E7" i="6" s="1"/>
  <c r="E10" i="6" s="1"/>
  <c r="E23" i="6" s="1"/>
  <c r="E4" i="6"/>
  <c r="D35" i="6"/>
  <c r="D34" i="6"/>
  <c r="E26" i="6" l="1"/>
  <c r="E29" i="6" s="1"/>
  <c r="E32" i="6" s="1"/>
  <c r="E35" i="6" s="1"/>
  <c r="D32" i="6"/>
  <c r="D31" i="6"/>
  <c r="D29" i="6"/>
  <c r="D28" i="6"/>
  <c r="D27" i="6"/>
  <c r="D26" i="6"/>
  <c r="D25" i="6"/>
  <c r="D23" i="6" l="1"/>
  <c r="D21" i="6"/>
  <c r="D19" i="6"/>
  <c r="D18" i="6"/>
  <c r="D16" i="6" l="1"/>
  <c r="D15" i="6"/>
  <c r="D14" i="6"/>
  <c r="D13" i="6"/>
  <c r="D12" i="6"/>
  <c r="D10" i="6"/>
  <c r="D9" i="6"/>
  <c r="D7" i="6"/>
  <c r="D5" i="6"/>
  <c r="D6" i="6"/>
  <c r="D4" i="6"/>
  <c r="K19" i="7" l="1"/>
  <c r="J19" i="7"/>
  <c r="I19" i="7"/>
  <c r="H19" i="7"/>
  <c r="G19" i="7"/>
  <c r="K6" i="7"/>
  <c r="J6" i="7"/>
  <c r="I6" i="7"/>
  <c r="H6" i="7"/>
  <c r="G6" i="7"/>
  <c r="K4" i="7"/>
  <c r="J4" i="7"/>
  <c r="I4" i="7"/>
  <c r="H4" i="7"/>
  <c r="G4" i="7"/>
  <c r="E25" i="7"/>
  <c r="D25" i="7"/>
  <c r="C25" i="7"/>
  <c r="E23" i="7"/>
  <c r="D23" i="7"/>
  <c r="C23" i="7"/>
  <c r="E14" i="7"/>
  <c r="D14" i="7"/>
  <c r="C14" i="7"/>
  <c r="E21" i="7"/>
  <c r="D21" i="7"/>
  <c r="C21" i="7"/>
  <c r="E19" i="7"/>
  <c r="D19" i="7"/>
  <c r="C19" i="7"/>
  <c r="E12" i="7"/>
  <c r="D12" i="7"/>
  <c r="C12" i="7"/>
  <c r="E6" i="7"/>
  <c r="D6" i="7"/>
  <c r="C6" i="7"/>
  <c r="E4" i="7"/>
  <c r="D4" i="7"/>
  <c r="C4" i="7"/>
  <c r="E17" i="7" l="1"/>
  <c r="D17" i="7"/>
  <c r="C17" i="7"/>
  <c r="E16" i="7"/>
  <c r="D16" i="7"/>
  <c r="C16" i="7"/>
  <c r="E10" i="7"/>
  <c r="D10" i="7"/>
  <c r="C10" i="7"/>
  <c r="E9" i="7"/>
  <c r="D9" i="7"/>
  <c r="C9" i="7"/>
  <c r="E8" i="7"/>
  <c r="D8" i="7"/>
  <c r="C8" i="7"/>
  <c r="E5" i="7"/>
  <c r="D5" i="7"/>
  <c r="C5" i="7"/>
  <c r="E21" i="5" l="1"/>
  <c r="D21" i="5"/>
  <c r="E22" i="5"/>
  <c r="D22" i="5"/>
  <c r="C22" i="5"/>
  <c r="E18" i="5"/>
  <c r="D18" i="5"/>
  <c r="C18" i="5"/>
  <c r="E17" i="5"/>
  <c r="D17" i="5"/>
  <c r="C17" i="5"/>
  <c r="E14" i="5"/>
  <c r="D14" i="5"/>
  <c r="C14" i="5"/>
  <c r="E11" i="5"/>
  <c r="D11" i="5"/>
  <c r="C11" i="5"/>
  <c r="E8" i="5"/>
  <c r="D8" i="5"/>
  <c r="C8" i="5"/>
  <c r="E5" i="5"/>
  <c r="D5" i="5"/>
  <c r="C5" i="5"/>
  <c r="E4" i="5"/>
  <c r="D4" i="5"/>
  <c r="C4" i="5"/>
  <c r="C4" i="20" s="1"/>
  <c r="F6" i="5" l="1"/>
  <c r="F9" i="5" s="1"/>
  <c r="F12" i="5" s="1"/>
  <c r="F15" i="5" s="1"/>
  <c r="F19" i="5" s="1"/>
  <c r="F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 l="1"/>
  <c r="C9" i="5" s="1"/>
  <c r="C12" i="5" s="1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C15" i="5" l="1"/>
  <c r="C19" i="5" s="1"/>
  <c r="C5" i="20"/>
  <c r="C6" i="20" s="1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C24" i="5" l="1"/>
  <c r="C21" i="5"/>
  <c r="E12" i="9"/>
  <c r="D12" i="9"/>
  <c r="C12" i="9"/>
  <c r="E9" i="9"/>
  <c r="D9" i="9"/>
  <c r="C9" i="9"/>
  <c r="E6" i="9"/>
  <c r="D6" i="9"/>
  <c r="C6" i="9"/>
  <c r="E11" i="9"/>
  <c r="D11" i="9"/>
  <c r="C11" i="9"/>
  <c r="E8" i="9"/>
  <c r="D8" i="9"/>
  <c r="E5" i="9"/>
  <c r="D5" i="9"/>
  <c r="C8" i="9"/>
  <c r="C5" i="9"/>
  <c r="E46" i="8" l="1"/>
  <c r="D46" i="8"/>
  <c r="C46" i="8"/>
  <c r="E52" i="8"/>
  <c r="D52" i="8"/>
  <c r="C52" i="8"/>
  <c r="E34" i="8" l="1"/>
  <c r="D34" i="8"/>
  <c r="C34" i="8"/>
  <c r="E28" i="8"/>
  <c r="D28" i="8"/>
  <c r="C28" i="8"/>
  <c r="E22" i="8"/>
  <c r="D22" i="8"/>
  <c r="C22" i="8"/>
  <c r="K52" i="8" l="1"/>
  <c r="K21" i="5" s="1"/>
  <c r="K6" i="6" s="1"/>
  <c r="J52" i="8"/>
  <c r="J21" i="5" s="1"/>
  <c r="J6" i="6" s="1"/>
  <c r="I52" i="8"/>
  <c r="I21" i="5" s="1"/>
  <c r="I6" i="6" s="1"/>
  <c r="H52" i="8"/>
  <c r="H21" i="5" s="1"/>
  <c r="H6" i="6" s="1"/>
  <c r="G52" i="8"/>
  <c r="G21" i="5" s="1"/>
  <c r="G6" i="6" s="1"/>
  <c r="K46" i="8"/>
  <c r="J46" i="8"/>
  <c r="I46" i="8"/>
  <c r="H46" i="8"/>
  <c r="G46" i="8"/>
  <c r="K40" i="8"/>
  <c r="J40" i="8"/>
  <c r="I40" i="8"/>
  <c r="H40" i="8"/>
  <c r="G40" i="8"/>
  <c r="G39" i="8" s="1"/>
  <c r="K34" i="8"/>
  <c r="J34" i="8"/>
  <c r="I34" i="8"/>
  <c r="H34" i="8"/>
  <c r="G34" i="8"/>
  <c r="K28" i="8"/>
  <c r="J28" i="8"/>
  <c r="I28" i="8"/>
  <c r="H28" i="8"/>
  <c r="G28" i="8"/>
  <c r="K22" i="8"/>
  <c r="J22" i="8"/>
  <c r="I22" i="8"/>
  <c r="H22" i="8"/>
  <c r="G22" i="8"/>
  <c r="K16" i="8"/>
  <c r="J16" i="8"/>
  <c r="I16" i="8"/>
  <c r="H16" i="8"/>
  <c r="G16" i="8"/>
  <c r="G15" i="8" s="1"/>
  <c r="G5" i="5" s="1"/>
  <c r="E15" i="8"/>
  <c r="D15" i="8"/>
  <c r="E51" i="8"/>
  <c r="E45" i="8"/>
  <c r="E39" i="8"/>
  <c r="E33" i="8"/>
  <c r="E27" i="8"/>
  <c r="E21" i="8"/>
  <c r="D51" i="8"/>
  <c r="D45" i="8"/>
  <c r="D39" i="8"/>
  <c r="D33" i="8"/>
  <c r="D27" i="8"/>
  <c r="D21" i="8"/>
  <c r="C51" i="8"/>
  <c r="C45" i="8"/>
  <c r="C39" i="8"/>
  <c r="C33" i="8"/>
  <c r="C27" i="8"/>
  <c r="C21" i="8"/>
  <c r="C15" i="8"/>
  <c r="H39" i="8" l="1"/>
  <c r="G17" i="5"/>
  <c r="G25" i="6" s="1"/>
  <c r="H15" i="8"/>
  <c r="K10" i="8"/>
  <c r="J10" i="8"/>
  <c r="I10" i="8"/>
  <c r="H10" i="8"/>
  <c r="G10" i="8"/>
  <c r="G9" i="8" s="1"/>
  <c r="G45" i="8" l="1"/>
  <c r="G18" i="5" s="1"/>
  <c r="G21" i="6" s="1"/>
  <c r="G4" i="5"/>
  <c r="G17" i="9"/>
  <c r="G10" i="7" s="1"/>
  <c r="G20" i="9"/>
  <c r="G17" i="7" s="1"/>
  <c r="G14" i="9"/>
  <c r="G5" i="7" s="1"/>
  <c r="G5" i="9"/>
  <c r="G9" i="7" s="1"/>
  <c r="I15" i="8"/>
  <c r="H5" i="5"/>
  <c r="I39" i="8"/>
  <c r="H17" i="5"/>
  <c r="H25" i="6" s="1"/>
  <c r="G21" i="8"/>
  <c r="G33" i="8"/>
  <c r="G14" i="5" s="1"/>
  <c r="G9" i="6" s="1"/>
  <c r="G27" i="8"/>
  <c r="G11" i="5" s="1"/>
  <c r="C6" i="22" s="1"/>
  <c r="N3" i="22" s="1"/>
  <c r="H9" i="8"/>
  <c r="E10" i="8"/>
  <c r="D10" i="8"/>
  <c r="E9" i="8"/>
  <c r="D9" i="8"/>
  <c r="C9" i="8"/>
  <c r="J15" i="8" l="1"/>
  <c r="I5" i="5"/>
  <c r="I9" i="8"/>
  <c r="I21" i="8" s="1"/>
  <c r="H4" i="5"/>
  <c r="H17" i="9"/>
  <c r="H10" i="7" s="1"/>
  <c r="H20" i="9"/>
  <c r="H17" i="7" s="1"/>
  <c r="H14" i="9"/>
  <c r="H5" i="7" s="1"/>
  <c r="H5" i="9"/>
  <c r="H9" i="7" s="1"/>
  <c r="G5" i="23"/>
  <c r="G13" i="6"/>
  <c r="G18" i="6"/>
  <c r="G8" i="5"/>
  <c r="C5" i="22" s="1"/>
  <c r="M3" i="22" s="1"/>
  <c r="G11" i="9"/>
  <c r="G16" i="7" s="1"/>
  <c r="G8" i="9"/>
  <c r="G8" i="7" s="1"/>
  <c r="G16" i="6"/>
  <c r="C4" i="22"/>
  <c r="L3" i="22" s="1"/>
  <c r="G4" i="20"/>
  <c r="G6" i="5"/>
  <c r="J39" i="8"/>
  <c r="I17" i="5"/>
  <c r="I25" i="6" s="1"/>
  <c r="J9" i="8"/>
  <c r="I27" i="8"/>
  <c r="I11" i="5" s="1"/>
  <c r="I33" i="8"/>
  <c r="I14" i="5" s="1"/>
  <c r="I9" i="6" s="1"/>
  <c r="I45" i="8"/>
  <c r="I18" i="5" s="1"/>
  <c r="I21" i="6" s="1"/>
  <c r="H45" i="8"/>
  <c r="H18" i="5" s="1"/>
  <c r="H21" i="6" s="1"/>
  <c r="H27" i="8"/>
  <c r="H11" i="5" s="1"/>
  <c r="H21" i="8"/>
  <c r="H33" i="8"/>
  <c r="H14" i="5" s="1"/>
  <c r="H9" i="6" s="1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H16" i="6" l="1"/>
  <c r="G4" i="23"/>
  <c r="G12" i="6"/>
  <c r="H18" i="6"/>
  <c r="G6" i="23"/>
  <c r="G14" i="6"/>
  <c r="J4" i="5"/>
  <c r="J20" i="9"/>
  <c r="J17" i="7" s="1"/>
  <c r="J17" i="9"/>
  <c r="J10" i="7" s="1"/>
  <c r="J14" i="9"/>
  <c r="J5" i="7" s="1"/>
  <c r="J5" i="9"/>
  <c r="J9" i="7" s="1"/>
  <c r="H8" i="5"/>
  <c r="H11" i="9"/>
  <c r="H16" i="7" s="1"/>
  <c r="H8" i="9"/>
  <c r="H8" i="7" s="1"/>
  <c r="H5" i="23"/>
  <c r="H13" i="6"/>
  <c r="H4" i="20"/>
  <c r="H6" i="5"/>
  <c r="K39" i="8"/>
  <c r="K17" i="5" s="1"/>
  <c r="K25" i="6" s="1"/>
  <c r="J17" i="5"/>
  <c r="J25" i="6" s="1"/>
  <c r="G9" i="5"/>
  <c r="G12" i="5" s="1"/>
  <c r="I4" i="5"/>
  <c r="I17" i="9"/>
  <c r="I10" i="7" s="1"/>
  <c r="I20" i="9"/>
  <c r="I17" i="7" s="1"/>
  <c r="I14" i="9"/>
  <c r="I5" i="7" s="1"/>
  <c r="I5" i="9"/>
  <c r="I9" i="7" s="1"/>
  <c r="I8" i="5"/>
  <c r="I11" i="9"/>
  <c r="I16" i="7" s="1"/>
  <c r="I8" i="9"/>
  <c r="I8" i="7" s="1"/>
  <c r="G15" i="6"/>
  <c r="M2" i="22"/>
  <c r="N2" i="22" s="1"/>
  <c r="O3" i="22" s="1"/>
  <c r="K15" i="8"/>
  <c r="K5" i="5" s="1"/>
  <c r="J5" i="5"/>
  <c r="K9" i="8"/>
  <c r="J21" i="8"/>
  <c r="J33" i="8"/>
  <c r="J14" i="5" s="1"/>
  <c r="J9" i="6" s="1"/>
  <c r="J45" i="8"/>
  <c r="J18" i="5" s="1"/>
  <c r="J21" i="6" s="1"/>
  <c r="J27" i="8"/>
  <c r="J11" i="5" s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I16" i="6" l="1"/>
  <c r="I4" i="20"/>
  <c r="I6" i="5"/>
  <c r="I9" i="5" s="1"/>
  <c r="I12" i="5" s="1"/>
  <c r="H4" i="23"/>
  <c r="H12" i="6"/>
  <c r="H15" i="6" s="1"/>
  <c r="I4" i="23"/>
  <c r="I12" i="6"/>
  <c r="G15" i="5"/>
  <c r="G5" i="20"/>
  <c r="G6" i="20" s="1"/>
  <c r="H6" i="23"/>
  <c r="H14" i="6"/>
  <c r="J8" i="5"/>
  <c r="J11" i="9"/>
  <c r="J16" i="7" s="1"/>
  <c r="J8" i="9"/>
  <c r="J8" i="7" s="1"/>
  <c r="J5" i="23"/>
  <c r="J13" i="6"/>
  <c r="J4" i="20"/>
  <c r="J6" i="5"/>
  <c r="I5" i="23"/>
  <c r="I13" i="6"/>
  <c r="H9" i="5"/>
  <c r="H12" i="5" s="1"/>
  <c r="J18" i="6"/>
  <c r="I6" i="23"/>
  <c r="I14" i="6"/>
  <c r="K4" i="5"/>
  <c r="K20" i="9"/>
  <c r="K17" i="7" s="1"/>
  <c r="K14" i="9"/>
  <c r="K5" i="7" s="1"/>
  <c r="K17" i="9"/>
  <c r="K10" i="7" s="1"/>
  <c r="K5" i="9"/>
  <c r="K9" i="7" s="1"/>
  <c r="I18" i="6"/>
  <c r="J16" i="6"/>
  <c r="G7" i="23"/>
  <c r="K21" i="8"/>
  <c r="K45" i="8"/>
  <c r="K18" i="5" s="1"/>
  <c r="K21" i="6" s="1"/>
  <c r="K33" i="8"/>
  <c r="K14" i="5" s="1"/>
  <c r="K9" i="6" s="1"/>
  <c r="K27" i="8"/>
  <c r="K11" i="5" s="1"/>
  <c r="E8" i="3"/>
  <c r="K17" i="3"/>
  <c r="J17" i="3"/>
  <c r="D15" i="3"/>
  <c r="F15" i="3"/>
  <c r="F8" i="3"/>
  <c r="D8" i="3"/>
  <c r="L17" i="3"/>
  <c r="E15" i="3"/>
  <c r="L8" i="3"/>
  <c r="K8" i="3"/>
  <c r="J8" i="3"/>
  <c r="K16" i="6" l="1"/>
  <c r="H7" i="23"/>
  <c r="I7" i="23"/>
  <c r="G19" i="5"/>
  <c r="G4" i="6"/>
  <c r="J4" i="23"/>
  <c r="J12" i="6"/>
  <c r="I15" i="6"/>
  <c r="K18" i="6"/>
  <c r="H15" i="5"/>
  <c r="H5" i="20"/>
  <c r="H6" i="20" s="1"/>
  <c r="K8" i="5"/>
  <c r="K8" i="9"/>
  <c r="K8" i="7" s="1"/>
  <c r="K11" i="9"/>
  <c r="K16" i="7" s="1"/>
  <c r="K5" i="23"/>
  <c r="K13" i="6"/>
  <c r="J6" i="23"/>
  <c r="J14" i="6"/>
  <c r="I15" i="5"/>
  <c r="I5" i="20"/>
  <c r="I6" i="20" s="1"/>
  <c r="K4" i="20"/>
  <c r="K6" i="5"/>
  <c r="J9" i="5"/>
  <c r="J12" i="5" s="1"/>
  <c r="D19" i="3"/>
  <c r="F19" i="3"/>
  <c r="L19" i="3"/>
  <c r="J19" i="3"/>
  <c r="K19" i="3"/>
  <c r="E19" i="3"/>
  <c r="J15" i="5" l="1"/>
  <c r="J5" i="20"/>
  <c r="J6" i="20" s="1"/>
  <c r="H19" i="5"/>
  <c r="H4" i="6"/>
  <c r="K9" i="5"/>
  <c r="K12" i="5" s="1"/>
  <c r="J15" i="6"/>
  <c r="K6" i="23"/>
  <c r="K14" i="6"/>
  <c r="J7" i="23"/>
  <c r="G5" i="6"/>
  <c r="G7" i="6" s="1"/>
  <c r="G10" i="6" s="1"/>
  <c r="G23" i="6" s="1"/>
  <c r="K4" i="23"/>
  <c r="K12" i="6"/>
  <c r="I19" i="5"/>
  <c r="I4" i="6"/>
  <c r="G22" i="5"/>
  <c r="L22" i="3"/>
  <c r="K22" i="3"/>
  <c r="J22" i="3"/>
  <c r="K15" i="6" l="1"/>
  <c r="G8" i="11"/>
  <c r="I22" i="5"/>
  <c r="I24" i="5" s="1"/>
  <c r="K7" i="23"/>
  <c r="G26" i="6"/>
  <c r="H22" i="5"/>
  <c r="H24" i="5" s="1"/>
  <c r="G24" i="5"/>
  <c r="G21" i="7" s="1"/>
  <c r="J19" i="5"/>
  <c r="J4" i="6"/>
  <c r="K15" i="5"/>
  <c r="K5" i="20"/>
  <c r="K6" i="20" s="1"/>
  <c r="H5" i="6"/>
  <c r="I5" i="6"/>
  <c r="I26" i="6" s="1"/>
  <c r="H26" i="6" l="1"/>
  <c r="K19" i="5"/>
  <c r="K4" i="6"/>
  <c r="J5" i="6"/>
  <c r="J7" i="6" s="1"/>
  <c r="J10" i="6" s="1"/>
  <c r="J23" i="6" s="1"/>
  <c r="H7" i="6"/>
  <c r="H10" i="6" s="1"/>
  <c r="H23" i="6" s="1"/>
  <c r="J22" i="5"/>
  <c r="J24" i="5" s="1"/>
  <c r="C4" i="21"/>
  <c r="G11" i="11"/>
  <c r="C5" i="21" s="1"/>
  <c r="I7" i="6"/>
  <c r="I10" i="6" s="1"/>
  <c r="I23" i="6" s="1"/>
  <c r="G28" i="6"/>
  <c r="G29" i="6" s="1"/>
  <c r="H21" i="7"/>
  <c r="G23" i="7"/>
  <c r="J26" i="6" l="1"/>
  <c r="G32" i="6"/>
  <c r="G12" i="7"/>
  <c r="H28" i="6"/>
  <c r="I21" i="7"/>
  <c r="H23" i="7"/>
  <c r="H29" i="6"/>
  <c r="H8" i="11"/>
  <c r="K22" i="5"/>
  <c r="K24" i="5" s="1"/>
  <c r="I8" i="11"/>
  <c r="J8" i="11"/>
  <c r="K5" i="6"/>
  <c r="K26" i="6" s="1"/>
  <c r="K7" i="6" l="1"/>
  <c r="K10" i="6" s="1"/>
  <c r="K23" i="6" s="1"/>
  <c r="J21" i="7"/>
  <c r="I28" i="6"/>
  <c r="I29" i="6" s="1"/>
  <c r="I23" i="7"/>
  <c r="E4" i="21"/>
  <c r="I11" i="11"/>
  <c r="E5" i="21" s="1"/>
  <c r="H31" i="6"/>
  <c r="H32" i="6" s="1"/>
  <c r="G34" i="6"/>
  <c r="G35" i="6" s="1"/>
  <c r="H12" i="7"/>
  <c r="G14" i="7"/>
  <c r="G25" i="7" s="1"/>
  <c r="D4" i="21"/>
  <c r="H11" i="11"/>
  <c r="D5" i="21" s="1"/>
  <c r="F4" i="21"/>
  <c r="J11" i="11"/>
  <c r="F5" i="21" s="1"/>
  <c r="K21" i="7" l="1"/>
  <c r="J28" i="6"/>
  <c r="J29" i="6" s="1"/>
  <c r="J23" i="7"/>
  <c r="I31" i="6"/>
  <c r="I12" i="7"/>
  <c r="H34" i="6"/>
  <c r="H35" i="6" s="1"/>
  <c r="H14" i="7"/>
  <c r="H25" i="7" s="1"/>
  <c r="I32" i="6"/>
  <c r="K8" i="11"/>
  <c r="J31" i="6" l="1"/>
  <c r="J32" i="6" s="1"/>
  <c r="J12" i="7"/>
  <c r="I34" i="6"/>
  <c r="I35" i="6" s="1"/>
  <c r="I14" i="7"/>
  <c r="I25" i="7" s="1"/>
  <c r="G4" i="21"/>
  <c r="C16" i="11"/>
  <c r="C17" i="11" s="1"/>
  <c r="K11" i="11"/>
  <c r="K28" i="6"/>
  <c r="K29" i="6" s="1"/>
  <c r="K23" i="7"/>
  <c r="K12" i="7" l="1"/>
  <c r="K31" i="6"/>
  <c r="K32" i="6" s="1"/>
  <c r="J34" i="6"/>
  <c r="J35" i="6" s="1"/>
  <c r="J14" i="7"/>
  <c r="J25" i="7" s="1"/>
  <c r="C15" i="11"/>
  <c r="G5" i="21"/>
  <c r="K34" i="6" l="1"/>
  <c r="K35" i="6" s="1"/>
  <c r="K14" i="7"/>
  <c r="K25" i="7" s="1"/>
  <c r="C18" i="11"/>
  <c r="C21" i="11" l="1"/>
  <c r="G21" i="11"/>
  <c r="E17" i="11"/>
  <c r="E15" i="11"/>
</calcChain>
</file>

<file path=xl/sharedStrings.xml><?xml version="1.0" encoding="utf-8"?>
<sst xmlns="http://schemas.openxmlformats.org/spreadsheetml/2006/main" count="318" uniqueCount="176">
  <si>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</si>
  <si>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</si>
  <si>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</si>
  <si>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</si>
  <si>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</si>
  <si>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</si>
  <si>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</si>
  <si>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</si>
  <si>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</si>
  <si>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</si>
  <si>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</si>
  <si>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</si>
  <si>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</si>
  <si>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</si>
  <si>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</si>
  <si>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</si>
  <si>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</si>
  <si>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</si>
  <si>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</si>
  <si>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</si>
  <si>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</si>
  <si>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</si>
  <si>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</si>
  <si>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</si>
  <si>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</si>
  <si>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</si>
  <si>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</si>
  <si>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</si>
  <si>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</si>
  <si>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</si>
  <si>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</si>
  <si>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</si>
  <si>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</si>
  <si>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</si>
  <si>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</si>
  <si>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</si>
  <si>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</si>
  <si>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</si>
  <si>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</si>
  <si>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</si>
  <si>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</si>
  <si>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</si>
  <si>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</si>
  <si>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</si>
  <si>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</si>
  <si>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</si>
  <si>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</si>
  <si>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</si>
  <si>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</si>
  <si>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</si>
  <si>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</si>
  <si>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</si>
  <si>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</si>
  <si>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</si>
  <si>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</si>
  <si>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</si>
  <si>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</si>
  <si>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</si>
  <si>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</si>
  <si>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</si>
  <si>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</si>
  <si>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</si>
  <si>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</si>
  <si>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</si>
  <si>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</si>
  <si>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</si>
  <si>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</si>
  <si>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</si>
  <si>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</si>
  <si>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</si>
  <si>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</si>
  <si>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</si>
  <si>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</si>
  <si>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</si>
  <si>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</si>
  <si>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</si>
  <si>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</si>
  <si>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</si>
  <si>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</si>
  <si>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</si>
  <si>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</si>
  <si>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</si>
  <si>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</si>
  <si>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</si>
  <si>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</si>
  <si>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</si>
  <si>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</si>
  <si>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</si>
  <si>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</si>
  <si>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</si>
  <si>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</si>
  <si>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</si>
  <si>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</si>
  <si>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</si>
  <si>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</si>
  <si>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</si>
  <si>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</si>
  <si>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</si>
  <si>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</si>
  <si>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</si>
  <si>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</si>
  <si>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</si>
  <si>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</si>
  <si>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</si>
  <si>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</si>
  <si>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</si>
  <si>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</si>
  <si>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</si>
  <si>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Trade receivable</t>
  </si>
  <si>
    <t>Days receivable</t>
  </si>
  <si>
    <t>Days Inventory</t>
  </si>
  <si>
    <t>Days payable</t>
  </si>
  <si>
    <t>as a % of revenue</t>
  </si>
  <si>
    <t>Tax rate</t>
  </si>
  <si>
    <t>Gross margin</t>
  </si>
  <si>
    <t>Net income</t>
  </si>
  <si>
    <t>Total revenues</t>
  </si>
  <si>
    <t>Financial liabilities</t>
  </si>
  <si>
    <t>Shareholders' equity</t>
  </si>
  <si>
    <t>Total Liabilities &amp; Equities</t>
  </si>
  <si>
    <t>Check</t>
  </si>
  <si>
    <t>Flat</t>
  </si>
  <si>
    <t>Last year's equity + Net income</t>
  </si>
  <si>
    <t>Operating taxes</t>
  </si>
  <si>
    <t>Operating tax rate</t>
  </si>
  <si>
    <t>NOPAT</t>
  </si>
  <si>
    <t>Add-back D&amp;A</t>
  </si>
  <si>
    <t>Gross Cash Flow</t>
  </si>
  <si>
    <t>Trade payables</t>
  </si>
  <si>
    <t>Investments in working capital</t>
  </si>
  <si>
    <t>Investments in other assets/liabilities</t>
  </si>
  <si>
    <t>Capex</t>
  </si>
  <si>
    <t>Extraordinary items</t>
  </si>
  <si>
    <t>UFCF</t>
  </si>
  <si>
    <t>Other investments</t>
  </si>
  <si>
    <t>Interest expenses</t>
  </si>
  <si>
    <t>Delta Taxes vs. Operating taxes</t>
  </si>
  <si>
    <t>Delta Financial liabilities</t>
  </si>
  <si>
    <t>Delta Equity (incl. dividends)</t>
  </si>
  <si>
    <t>Net Cash Flow</t>
  </si>
  <si>
    <t>1)</t>
  </si>
  <si>
    <t>2)</t>
  </si>
  <si>
    <t>3)</t>
  </si>
  <si>
    <t>4)</t>
  </si>
  <si>
    <t>5)</t>
  </si>
  <si>
    <t>6)</t>
  </si>
  <si>
    <t>1) + 2) + 3) + 4) + 5) + 6)</t>
  </si>
  <si>
    <t>Opening cash</t>
  </si>
  <si>
    <t>Closing cash</t>
  </si>
  <si>
    <t>WACC</t>
  </si>
  <si>
    <t>g</t>
  </si>
  <si>
    <t>Discount factor</t>
  </si>
  <si>
    <t>Present value of UFCF</t>
  </si>
  <si>
    <t>PV of Cash flows</t>
  </si>
  <si>
    <t>$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</si>
  <si>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</si>
  <si>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</si>
  <si>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</si>
  <si>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</si>
  <si>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</si>
  <si>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</si>
  <si>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EBITDA%</t>
  </si>
  <si>
    <t>Delta Revenues</t>
  </si>
  <si>
    <t>Delta Cogs</t>
  </si>
  <si>
    <t>Delta Opex</t>
  </si>
  <si>
    <t>DSO</t>
  </si>
  <si>
    <t>DIO</t>
  </si>
  <si>
    <t>DPO</t>
  </si>
  <si>
    <t>Scenario 1</t>
  </si>
  <si>
    <t>Scenario 2</t>
  </si>
  <si>
    <t>Scenario 3</t>
  </si>
  <si>
    <t>Enterprise Value</t>
  </si>
  <si>
    <t>CFs in Forecast period</t>
  </si>
  <si>
    <t>Continuing Value</t>
  </si>
  <si>
    <t>EBITDA FY18</t>
  </si>
  <si>
    <t>EBITDA FY19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</si>
</sst>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_-* #,##0_-;\-* #,##0_-;_-* &quot;-&quot;_-;_-@_-"/>
    <numFmt numFmtId="165" formatCode="_(&quot;$&quot;* #,##0_);_(&quot;$&quot;* \(#,##0\);_(&quot;$&quot;* &quot;-&quot;_);_(@_)"/>
    <numFmt numFmtId="166" formatCode="_(* #,##0.00_);_(* \(#,##0.00\);_(* &quot;-&quot;??_);_(@_)"/>
    <numFmt numFmtId="167" formatCode="_(* #,##0.0_);_(* \(#,##0.0\);_(* &quot;-&quot;?_);@_)"/>
    <numFmt numFmtId="168" formatCode="_(* #,##0.0_);_(* \(#,##0.0\);_(* &quot;-&quot;?_);@_l"/>
    <numFmt numFmtId="169" formatCode="_(* #,##0_);_(* \(#,##0\);_(* &quot;-&quot;?_);@_)"/>
    <numFmt numFmtId="170" formatCode="0.0%"/>
    <numFmt numFmtId="171" formatCode="_(* #,##0_);_(* \(#,##0\);_(* &quot;-&quot;??_);_(@_)"/>
    <numFmt numFmtId="172" formatCode="_(* #,##0_);_(* \(#,##0\);_(* &quot;-&quot;?_);@_l"/>
    <numFmt numFmtId="173" formatCode="_-* #,##0.00\ &quot;€&quot;_-;\-* #,##0.00\ &quot;€&quot;_-;_-* &quot;-&quot;??\ &quot;€&quot;_-;_-@_-"/>
    <numFmt numFmtId="174" formatCode="_-* #,##0.00\ _€_-;\-* #,##0.00\ _€_-;_-* &quot;-&quot;??\ _€_-;_-@_-"/>
    <numFmt numFmtId="175" formatCode="_-* #,##0\ _D_M_-;\-* #,##0\ _D_M_-;_-* &quot;-&quot;\ _D_M_-;_-@_-"/>
    <numFmt numFmtId="176" formatCode="_-* #,##0.00\ &quot;Kc&quot;_-;\-* #,##0.00\ &quot;Kc&quot;_-;_-* &quot;-&quot;??\ &quot;Kc&quot;_-;_-@_-"/>
    <numFmt numFmtId="177" formatCode="\(0\'\)"/>
    <numFmt numFmtId="178" formatCode="0.00_)"/>
    <numFmt numFmtId="179" formatCode="#,##0;\(#,##0\);&quot;-&quot;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  <numFmt numFmtId="184" formatCode="0.0"/>
  </numFmts>
  <fonts count="69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b/>
      <sz val="9"/>
      <color theme="0"/>
      <name val="Arial"/>
      <family val="2"/>
      <charset val="204"/>
    </font>
    <font>
      <sz val="9"/>
      <color theme="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2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 style="thin">
        <color indexed="64"/>
      </right>
      <top/>
      <bottom/>
      <diagonal/>
    </border>
  </borders>
  <cellStyleXfs count="166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12" fillId="0" borderId="0"/>
    <xf numFmtId="0" fontId="12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5"/>
    <xf numFmtId="0" fontId="15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6" fillId="0" borderId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9" borderId="0" applyNumberFormat="0" applyBorder="0" applyAlignment="0" applyProtection="0"/>
    <xf numFmtId="0" fontId="17" fillId="12" borderId="0" applyNumberFormat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23" borderId="0" applyNumberFormat="0" applyBorder="0" applyAlignment="0" applyProtection="0"/>
    <xf numFmtId="0" fontId="12" fillId="0" borderId="0"/>
    <xf numFmtId="0" fontId="19" fillId="7" borderId="0" applyNumberFormat="0" applyBorder="0" applyAlignment="0" applyProtection="0"/>
    <xf numFmtId="0" fontId="20" fillId="24" borderId="6" applyNumberFormat="0" applyAlignment="0" applyProtection="0"/>
    <xf numFmtId="0" fontId="21" fillId="25" borderId="7" applyNumberFormat="0" applyAlignment="0" applyProtection="0"/>
    <xf numFmtId="49" fontId="13" fillId="0" borderId="0">
      <alignment horizontal="left" vertical="top" wrapText="1"/>
    </xf>
    <xf numFmtId="173" fontId="1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38" fontId="13" fillId="26" borderId="0" applyNumberFormat="0" applyBorder="0" applyAlignment="0" applyProtection="0"/>
    <xf numFmtId="0" fontId="24" fillId="0" borderId="8" applyNumberFormat="0" applyFill="0" applyAlignment="0" applyProtection="0"/>
    <xf numFmtId="0" fontId="25" fillId="0" borderId="9" applyNumberFormat="0" applyFill="0" applyAlignment="0" applyProtection="0"/>
    <xf numFmtId="0" fontId="26" fillId="0" borderId="10" applyNumberFormat="0" applyFill="0" applyAlignment="0" applyProtection="0"/>
    <xf numFmtId="0" fontId="26" fillId="0" borderId="0" applyNumberFormat="0" applyFill="0" applyBorder="0" applyAlignment="0" applyProtection="0"/>
    <xf numFmtId="0" fontId="27" fillId="11" borderId="6" applyNumberFormat="0" applyAlignment="0" applyProtection="0"/>
    <xf numFmtId="10" fontId="13" fillId="5" borderId="11" applyNumberFormat="0" applyBorder="0" applyAlignment="0" applyProtection="0"/>
    <xf numFmtId="0" fontId="28" fillId="0" borderId="12" applyNumberFormat="0" applyFill="0" applyAlignment="0" applyProtection="0"/>
    <xf numFmtId="176" fontId="29" fillId="0" borderId="0" applyFont="0" applyFill="0" applyBorder="0" applyAlignment="0" applyProtection="0"/>
    <xf numFmtId="175" fontId="12" fillId="0" borderId="0" applyFont="0" applyFill="0" applyBorder="0" applyAlignment="0" applyProtection="0"/>
    <xf numFmtId="4" fontId="30" fillId="0" borderId="0" applyFont="0" applyFill="0" applyBorder="0" applyAlignment="0" applyProtection="0"/>
    <xf numFmtId="165" fontId="12" fillId="0" borderId="0" applyFont="0" applyFill="0" applyBorder="0" applyAlignment="0" applyProtection="0"/>
    <xf numFmtId="177" fontId="12" fillId="0" borderId="0" applyFont="0" applyFill="0" applyBorder="0" applyAlignment="0" applyProtection="0"/>
    <xf numFmtId="0" fontId="31" fillId="27" borderId="0" applyNumberFormat="0" applyBorder="0" applyAlignment="0" applyProtection="0"/>
    <xf numFmtId="178" fontId="32" fillId="0" borderId="0"/>
    <xf numFmtId="0" fontId="29" fillId="0" borderId="0"/>
    <xf numFmtId="0" fontId="17" fillId="28" borderId="13" applyNumberFormat="0" applyFont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34" fillId="24" borderId="14" applyNumberFormat="0" applyAlignment="0" applyProtection="0"/>
    <xf numFmtId="9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33" fillId="0" borderId="0" applyNumberFormat="0" applyFont="0" applyFill="0" applyBorder="0" applyAlignment="0" applyProtection="0">
      <alignment horizontal="left"/>
    </xf>
    <xf numFmtId="15" fontId="33" fillId="0" borderId="0" applyFont="0" applyFill="0" applyBorder="0" applyAlignment="0" applyProtection="0"/>
    <xf numFmtId="4" fontId="33" fillId="0" borderId="0" applyFont="0" applyFill="0" applyBorder="0" applyAlignment="0" applyProtection="0"/>
    <xf numFmtId="0" fontId="35" fillId="0" borderId="15">
      <alignment horizontal="center"/>
    </xf>
    <xf numFmtId="3" fontId="33" fillId="0" borderId="0" applyFont="0" applyFill="0" applyBorder="0" applyAlignment="0" applyProtection="0"/>
    <xf numFmtId="0" fontId="33" fillId="29" borderId="0" applyNumberFormat="0" applyFont="0" applyBorder="0" applyAlignment="0" applyProtection="0"/>
    <xf numFmtId="3" fontId="45" fillId="30" borderId="0" applyFont="0" applyFill="0" applyBorder="0" applyAlignment="0" applyProtection="0"/>
    <xf numFmtId="4" fontId="36" fillId="31" borderId="14" applyNumberFormat="0" applyProtection="0">
      <alignment vertical="center"/>
    </xf>
    <xf numFmtId="4" fontId="37" fillId="31" borderId="14" applyNumberFormat="0" applyProtection="0">
      <alignment vertical="center"/>
    </xf>
    <xf numFmtId="4" fontId="36" fillId="31" borderId="14" applyNumberFormat="0" applyProtection="0">
      <alignment horizontal="left" vertical="center" indent="1"/>
    </xf>
    <xf numFmtId="4" fontId="36" fillId="31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33" borderId="14" applyNumberFormat="0" applyProtection="0">
      <alignment horizontal="right" vertical="center"/>
    </xf>
    <xf numFmtId="4" fontId="36" fillId="34" borderId="14" applyNumberFormat="0" applyProtection="0">
      <alignment horizontal="right" vertical="center"/>
    </xf>
    <xf numFmtId="4" fontId="36" fillId="35" borderId="14" applyNumberFormat="0" applyProtection="0">
      <alignment horizontal="right" vertical="center"/>
    </xf>
    <xf numFmtId="4" fontId="36" fillId="36" borderId="14" applyNumberFormat="0" applyProtection="0">
      <alignment horizontal="right" vertical="center"/>
    </xf>
    <xf numFmtId="4" fontId="36" fillId="37" borderId="14" applyNumberFormat="0" applyProtection="0">
      <alignment horizontal="right" vertical="center"/>
    </xf>
    <xf numFmtId="4" fontId="36" fillId="38" borderId="14" applyNumberFormat="0" applyProtection="0">
      <alignment horizontal="right" vertical="center"/>
    </xf>
    <xf numFmtId="4" fontId="36" fillId="39" borderId="14" applyNumberFormat="0" applyProtection="0">
      <alignment horizontal="right" vertical="center"/>
    </xf>
    <xf numFmtId="4" fontId="36" fillId="40" borderId="14" applyNumberFormat="0" applyProtection="0">
      <alignment horizontal="right" vertical="center"/>
    </xf>
    <xf numFmtId="4" fontId="36" fillId="41" borderId="14" applyNumberFormat="0" applyProtection="0">
      <alignment horizontal="right" vertical="center"/>
    </xf>
    <xf numFmtId="4" fontId="38" fillId="42" borderId="14" applyNumberFormat="0" applyProtection="0">
      <alignment horizontal="left" vertical="center" indent="1"/>
    </xf>
    <xf numFmtId="4" fontId="36" fillId="43" borderId="16" applyNumberFormat="0" applyProtection="0">
      <alignment horizontal="left" vertical="center" indent="1"/>
    </xf>
    <xf numFmtId="4" fontId="39" fillId="44" borderId="0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43" borderId="14" applyNumberFormat="0" applyProtection="0">
      <alignment horizontal="left" vertical="center" indent="1"/>
    </xf>
    <xf numFmtId="4" fontId="36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5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4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26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4" fontId="36" fillId="5" borderId="14" applyNumberFormat="0" applyProtection="0">
      <alignment vertical="center"/>
    </xf>
    <xf numFmtId="4" fontId="37" fillId="5" borderId="14" applyNumberFormat="0" applyProtection="0">
      <alignment vertical="center"/>
    </xf>
    <xf numFmtId="4" fontId="36" fillId="5" borderId="14" applyNumberFormat="0" applyProtection="0">
      <alignment horizontal="left" vertical="center" indent="1"/>
    </xf>
    <xf numFmtId="4" fontId="36" fillId="5" borderId="14" applyNumberFormat="0" applyProtection="0">
      <alignment horizontal="left" vertical="center" indent="1"/>
    </xf>
    <xf numFmtId="4" fontId="36" fillId="43" borderId="14" applyNumberFormat="0" applyProtection="0">
      <alignment horizontal="right" vertical="center"/>
    </xf>
    <xf numFmtId="4" fontId="37" fillId="43" borderId="14" applyNumberFormat="0" applyProtection="0">
      <alignment horizontal="right" vertical="center"/>
    </xf>
    <xf numFmtId="0" fontId="12" fillId="32" borderId="14" applyNumberFormat="0" applyProtection="0">
      <alignment horizontal="left" vertical="center" indent="1"/>
    </xf>
    <xf numFmtId="0" fontId="12" fillId="32" borderId="14" applyNumberFormat="0" applyProtection="0">
      <alignment horizontal="left" vertical="center" indent="1"/>
    </xf>
    <xf numFmtId="0" fontId="40" fillId="0" borderId="0"/>
    <xf numFmtId="4" fontId="14" fillId="43" borderId="14" applyNumberFormat="0" applyProtection="0">
      <alignment horizontal="right" vertical="center"/>
    </xf>
    <xf numFmtId="0" fontId="12" fillId="0" borderId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3" fontId="43" fillId="0" borderId="2" applyNumberFormat="0"/>
    <xf numFmtId="0" fontId="44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46" fillId="0" borderId="0"/>
    <xf numFmtId="9" fontId="7" fillId="0" borderId="0" applyFont="0" applyFill="0" applyBorder="0" applyAlignment="0" applyProtection="0"/>
    <xf numFmtId="0" fontId="47" fillId="0" borderId="0" applyNumberFormat="0" applyFont="0" applyFill="0" applyBorder="0" applyAlignment="0" applyProtection="0"/>
    <xf numFmtId="0" fontId="48" fillId="0" borderId="0"/>
    <xf numFmtId="0" fontId="49" fillId="0" borderId="0"/>
    <xf numFmtId="179" fontId="50" fillId="0" borderId="0"/>
    <xf numFmtId="179" fontId="12" fillId="0" borderId="0"/>
    <xf numFmtId="179" fontId="52" fillId="0" borderId="0"/>
    <xf numFmtId="0" fontId="53" fillId="0" borderId="0">
      <alignment horizontal="left"/>
    </xf>
    <xf numFmtId="164" fontId="51" fillId="0" borderId="18" applyFill="0" applyBorder="0" applyProtection="0">
      <alignment horizontal="right" vertical="top"/>
    </xf>
    <xf numFmtId="179" fontId="54" fillId="0" borderId="18">
      <alignment horizontal="left"/>
    </xf>
    <xf numFmtId="0" fontId="53" fillId="0" borderId="18">
      <alignment horizontal="right" wrapText="1"/>
    </xf>
    <xf numFmtId="0" fontId="51" fillId="0" borderId="0" applyFill="0" applyBorder="0">
      <alignment horizontal="left" vertical="top" wrapText="1"/>
    </xf>
    <xf numFmtId="180" fontId="51" fillId="0" borderId="0" applyFill="0" applyBorder="0">
      <alignment horizontal="right" vertical="top"/>
    </xf>
    <xf numFmtId="181" fontId="51" fillId="0" borderId="0" applyFill="0" applyBorder="0">
      <alignment horizontal="right" vertical="top"/>
    </xf>
    <xf numFmtId="49" fontId="51" fillId="0" borderId="0" applyNumberFormat="0" applyFill="0" applyBorder="0" applyProtection="0">
      <alignment horizontal="center" vertical="top"/>
    </xf>
    <xf numFmtId="179" fontId="55" fillId="0" borderId="0">
      <alignment horizontal="left" vertical="top"/>
    </xf>
    <xf numFmtId="0" fontId="56" fillId="0" borderId="0"/>
    <xf numFmtId="0" fontId="7" fillId="0" borderId="0"/>
    <xf numFmtId="0" fontId="57" fillId="0" borderId="0"/>
    <xf numFmtId="0" fontId="7" fillId="0" borderId="0"/>
    <xf numFmtId="17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8" fillId="0" borderId="0"/>
    <xf numFmtId="0" fontId="59" fillId="0" borderId="0"/>
    <xf numFmtId="0" fontId="60" fillId="0" borderId="0"/>
    <xf numFmtId="0" fontId="61" fillId="0" borderId="0"/>
    <xf numFmtId="0" fontId="61" fillId="0" borderId="0"/>
    <xf numFmtId="0" fontId="58" fillId="0" borderId="0"/>
    <xf numFmtId="0" fontId="59" fillId="0" borderId="0"/>
    <xf numFmtId="0" fontId="60" fillId="0" borderId="0"/>
    <xf numFmtId="0" fontId="63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7" fontId="2" fillId="2" borderId="0" xfId="0" applyNumberFormat="1" applyFont="1" applyFill="1"/>
    <xf numFmtId="167" fontId="1" fillId="2" borderId="0" xfId="0" applyNumberFormat="1" applyFont="1" applyFill="1"/>
    <xf numFmtId="167" fontId="3" fillId="2" borderId="2" xfId="0" applyNumberFormat="1" applyFont="1" applyFill="1" applyBorder="1"/>
    <xf numFmtId="167" fontId="3" fillId="2" borderId="2" xfId="0" applyNumberFormat="1" applyFont="1" applyFill="1" applyBorder="1" applyAlignment="1">
      <alignment horizontal="right" wrapText="1"/>
    </xf>
    <xf numFmtId="167" fontId="3" fillId="2" borderId="3" xfId="0" applyNumberFormat="1" applyFont="1" applyFill="1" applyBorder="1"/>
    <xf numFmtId="168" fontId="1" fillId="2" borderId="0" xfId="0" applyNumberFormat="1" applyFont="1" applyFill="1"/>
    <xf numFmtId="168" fontId="2" fillId="2" borderId="0" xfId="0" applyNumberFormat="1" applyFont="1" applyFill="1"/>
    <xf numFmtId="169" fontId="1" fillId="2" borderId="0" xfId="0" applyNumberFormat="1" applyFont="1" applyFill="1"/>
    <xf numFmtId="169" fontId="3" fillId="2" borderId="3" xfId="0" applyNumberFormat="1" applyFont="1" applyFill="1" applyBorder="1"/>
    <xf numFmtId="167" fontId="1" fillId="2" borderId="3" xfId="0" applyNumberFormat="1" applyFont="1" applyFill="1" applyBorder="1"/>
    <xf numFmtId="167" fontId="8" fillId="2" borderId="0" xfId="0" applyNumberFormat="1" applyFont="1" applyFill="1"/>
    <xf numFmtId="167" fontId="6" fillId="2" borderId="4" xfId="0" applyNumberFormat="1" applyFont="1" applyFill="1" applyBorder="1"/>
    <xf numFmtId="167" fontId="6" fillId="2" borderId="4" xfId="0" applyNumberFormat="1" applyFont="1" applyFill="1" applyBorder="1" applyAlignment="1">
      <alignment horizontal="right" wrapText="1"/>
    </xf>
    <xf numFmtId="167" fontId="6" fillId="3" borderId="4" xfId="0" applyNumberFormat="1" applyFont="1" applyFill="1" applyBorder="1" applyAlignment="1">
      <alignment horizontal="right" wrapText="1"/>
    </xf>
    <xf numFmtId="167" fontId="1" fillId="3" borderId="0" xfId="0" applyNumberFormat="1" applyFont="1" applyFill="1"/>
    <xf numFmtId="167" fontId="6" fillId="2" borderId="0" xfId="0" applyNumberFormat="1" applyFont="1" applyFill="1" applyAlignment="1">
      <alignment horizontal="right" wrapText="1"/>
    </xf>
    <xf numFmtId="167" fontId="6" fillId="2" borderId="4" xfId="0" applyNumberFormat="1" applyFont="1" applyFill="1" applyBorder="1" applyAlignment="1">
      <alignment wrapText="1"/>
    </xf>
    <xf numFmtId="167" fontId="6" fillId="2" borderId="0" xfId="0" applyNumberFormat="1" applyFont="1" applyFill="1"/>
    <xf numFmtId="9" fontId="1" fillId="2" borderId="0" xfId="2" applyFont="1" applyFill="1"/>
    <xf numFmtId="170" fontId="1" fillId="2" borderId="0" xfId="2" applyNumberFormat="1" applyFont="1" applyFill="1"/>
    <xf numFmtId="9" fontId="1" fillId="3" borderId="0" xfId="2" applyFont="1" applyFill="1"/>
    <xf numFmtId="169" fontId="1" fillId="3" borderId="0" xfId="0" applyNumberFormat="1" applyFont="1" applyFill="1"/>
    <xf numFmtId="0" fontId="9" fillId="2" borderId="0" xfId="0" applyFont="1" applyFill="1" applyAlignment="1">
      <alignment horizontal="left"/>
    </xf>
    <xf numFmtId="169" fontId="11" fillId="2" borderId="0" xfId="0" applyNumberFormat="1" applyFont="1" applyFill="1"/>
    <xf numFmtId="169" fontId="1" fillId="2" borderId="3" xfId="0" applyNumberFormat="1" applyFont="1" applyFill="1" applyBorder="1"/>
    <xf numFmtId="172" fontId="1" fillId="2" borderId="0" xfId="0" applyNumberFormat="1" applyFont="1" applyFill="1"/>
    <xf numFmtId="167" fontId="3" fillId="2" borderId="19" xfId="0" applyNumberFormat="1" applyFont="1" applyFill="1" applyBorder="1"/>
    <xf numFmtId="169" fontId="3" fillId="2" borderId="19" xfId="0" applyNumberFormat="1" applyFont="1" applyFill="1" applyBorder="1"/>
    <xf numFmtId="169" fontId="6" fillId="2" borderId="0" xfId="0" applyNumberFormat="1" applyFont="1" applyFill="1"/>
    <xf numFmtId="169" fontId="1" fillId="2" borderId="0" xfId="0" applyNumberFormat="1" applyFont="1" applyFill="1" applyAlignment="1">
      <alignment horizontal="right"/>
    </xf>
    <xf numFmtId="171" fontId="1" fillId="2" borderId="0" xfId="0" applyNumberFormat="1" applyFont="1" applyFill="1"/>
    <xf numFmtId="171" fontId="1" fillId="3" borderId="0" xfId="0" applyNumberFormat="1" applyFont="1" applyFill="1"/>
    <xf numFmtId="170" fontId="8" fillId="2" borderId="0" xfId="2" applyNumberFormat="1" applyFont="1" applyFill="1"/>
    <xf numFmtId="167" fontId="8" fillId="3" borderId="0" xfId="0" applyNumberFormat="1" applyFont="1" applyFill="1"/>
    <xf numFmtId="0" fontId="62" fillId="4" borderId="0" xfId="0" applyFont="1" applyFill="1" applyAlignment="1">
      <alignment horizontal="left"/>
    </xf>
    <xf numFmtId="0" fontId="10" fillId="4" borderId="0" xfId="0" applyFont="1" applyFill="1"/>
    <xf numFmtId="9" fontId="6" fillId="2" borderId="0" xfId="2" applyFont="1" applyFill="1"/>
    <xf numFmtId="167" fontId="10" fillId="2" borderId="0" xfId="0" applyNumberFormat="1" applyFont="1" applyFill="1"/>
    <xf numFmtId="168" fontId="9" fillId="2" borderId="0" xfId="0" applyNumberFormat="1" applyFont="1" applyFill="1"/>
    <xf numFmtId="169" fontId="9" fillId="2" borderId="0" xfId="0" applyNumberFormat="1" applyFont="1" applyFill="1"/>
    <xf numFmtId="0" fontId="11" fillId="2" borderId="0" xfId="165" applyFont="1" applyFill="1"/>
    <xf numFmtId="183" fontId="1" fillId="2" borderId="0" xfId="0" applyNumberFormat="1" applyFont="1" applyFill="1"/>
    <xf numFmtId="167" fontId="1" fillId="47" borderId="0" xfId="0" applyNumberFormat="1" applyFont="1" applyFill="1"/>
    <xf numFmtId="169" fontId="1" fillId="2" borderId="0" xfId="2" applyNumberFormat="1" applyFont="1" applyFill="1" applyAlignment="1">
      <alignment horizontal="right"/>
    </xf>
    <xf numFmtId="167" fontId="6" fillId="2" borderId="19" xfId="0" applyNumberFormat="1" applyFont="1" applyFill="1" applyBorder="1"/>
    <xf numFmtId="169" fontId="6" fillId="2" borderId="19" xfId="0" applyNumberFormat="1" applyFont="1" applyFill="1" applyBorder="1"/>
    <xf numFmtId="167" fontId="11" fillId="2" borderId="19" xfId="0" applyNumberFormat="1" applyFont="1" applyFill="1" applyBorder="1"/>
    <xf numFmtId="169" fontId="1" fillId="3" borderId="19" xfId="0" applyNumberFormat="1" applyFont="1" applyFill="1" applyBorder="1"/>
    <xf numFmtId="167" fontId="10" fillId="4" borderId="0" xfId="0" applyNumberFormat="1" applyFont="1" applyFill="1"/>
    <xf numFmtId="169" fontId="10" fillId="4" borderId="0" xfId="0" applyNumberFormat="1" applyFont="1" applyFill="1"/>
    <xf numFmtId="167" fontId="11" fillId="2" borderId="0" xfId="0" applyNumberFormat="1" applyFont="1" applyFill="1"/>
    <xf numFmtId="167" fontId="6" fillId="2" borderId="20" xfId="0" applyNumberFormat="1" applyFont="1" applyFill="1" applyBorder="1"/>
    <xf numFmtId="169" fontId="6" fillId="2" borderId="20" xfId="0" applyNumberFormat="1" applyFont="1" applyFill="1" applyBorder="1"/>
    <xf numFmtId="169" fontId="64" fillId="3" borderId="20" xfId="0" applyNumberFormat="1" applyFont="1" applyFill="1" applyBorder="1"/>
    <xf numFmtId="168" fontId="1" fillId="2" borderId="0" xfId="0" applyNumberFormat="1" applyFont="1" applyFill="1" applyBorder="1"/>
    <xf numFmtId="167" fontId="6" fillId="2" borderId="0" xfId="0" applyNumberFormat="1" applyFont="1" applyFill="1" applyBorder="1"/>
    <xf numFmtId="168" fontId="6" fillId="2" borderId="0" xfId="0" applyNumberFormat="1" applyFont="1" applyFill="1" applyBorder="1"/>
    <xf numFmtId="169" fontId="11" fillId="2" borderId="19" xfId="0" applyNumberFormat="1" applyFont="1" applyFill="1" applyBorder="1"/>
    <xf numFmtId="168" fontId="43" fillId="2" borderId="0" xfId="0" applyNumberFormat="1" applyFont="1" applyFill="1" applyBorder="1"/>
    <xf numFmtId="168" fontId="1" fillId="2" borderId="19" xfId="0" applyNumberFormat="1" applyFont="1" applyFill="1" applyBorder="1"/>
    <xf numFmtId="9" fontId="1" fillId="2" borderId="0" xfId="2" applyFont="1" applyFill="1" applyBorder="1"/>
    <xf numFmtId="9" fontId="1" fillId="3" borderId="0" xfId="2" applyFont="1" applyFill="1" applyBorder="1"/>
    <xf numFmtId="169" fontId="11" fillId="2" borderId="0" xfId="0" applyNumberFormat="1" applyFont="1" applyFill="1" applyBorder="1"/>
    <xf numFmtId="168" fontId="11" fillId="2" borderId="0" xfId="0" applyNumberFormat="1" applyFont="1" applyFill="1" applyBorder="1"/>
    <xf numFmtId="168" fontId="1" fillId="3" borderId="0" xfId="0" applyNumberFormat="1" applyFont="1" applyFill="1" applyBorder="1"/>
    <xf numFmtId="167" fontId="10" fillId="2" borderId="0" xfId="0" applyNumberFormat="1" applyFont="1" applyFill="1" applyBorder="1"/>
    <xf numFmtId="168" fontId="65" fillId="2" borderId="0" xfId="0" applyNumberFormat="1" applyFont="1" applyFill="1" applyBorder="1"/>
    <xf numFmtId="167" fontId="10" fillId="4" borderId="0" xfId="0" applyNumberFormat="1" applyFont="1" applyFill="1" applyBorder="1"/>
    <xf numFmtId="168" fontId="65" fillId="2" borderId="0" xfId="0" applyNumberFormat="1" applyFont="1" applyFill="1"/>
    <xf numFmtId="167" fontId="66" fillId="2" borderId="0" xfId="0" applyNumberFormat="1" applyFont="1" applyFill="1"/>
    <xf numFmtId="168" fontId="13" fillId="2" borderId="0" xfId="0" applyNumberFormat="1" applyFont="1" applyFill="1"/>
    <xf numFmtId="182" fontId="9" fillId="2" borderId="0" xfId="3" applyNumberFormat="1" applyFont="1" applyFill="1"/>
    <xf numFmtId="168" fontId="1" fillId="3" borderId="0" xfId="0" applyNumberFormat="1" applyFont="1" applyFill="1"/>
    <xf numFmtId="167" fontId="6" fillId="3" borderId="19" xfId="0" applyNumberFormat="1" applyFont="1" applyFill="1" applyBorder="1"/>
    <xf numFmtId="167" fontId="6" fillId="3" borderId="0" xfId="0" applyNumberFormat="1" applyFont="1" applyFill="1" applyBorder="1"/>
    <xf numFmtId="168" fontId="6" fillId="3" borderId="0" xfId="0" applyNumberFormat="1" applyFont="1" applyFill="1" applyBorder="1"/>
    <xf numFmtId="170" fontId="67" fillId="4" borderId="0" xfId="2" applyNumberFormat="1" applyFont="1" applyFill="1"/>
    <xf numFmtId="167" fontId="1" fillId="2" borderId="0" xfId="0" applyNumberFormat="1" applyFont="1" applyFill="1" applyBorder="1"/>
    <xf numFmtId="169" fontId="1" fillId="2" borderId="0" xfId="0" applyNumberFormat="1" applyFont="1" applyFill="1" applyBorder="1"/>
    <xf numFmtId="169" fontId="1" fillId="3" borderId="0" xfId="0" applyNumberFormat="1" applyFont="1" applyFill="1" applyBorder="1"/>
    <xf numFmtId="166" fontId="1" fillId="3" borderId="0" xfId="3" applyFont="1" applyFill="1" applyBorder="1"/>
    <xf numFmtId="169" fontId="6" fillId="3" borderId="19" xfId="0" applyNumberFormat="1" applyFont="1" applyFill="1" applyBorder="1"/>
    <xf numFmtId="167" fontId="64" fillId="2" borderId="19" xfId="0" applyNumberFormat="1" applyFont="1" applyFill="1" applyBorder="1"/>
    <xf numFmtId="169" fontId="68" fillId="2" borderId="0" xfId="0" applyNumberFormat="1" applyFont="1" applyFill="1"/>
    <xf numFmtId="9" fontId="64" fillId="2" borderId="2" xfId="2" applyFont="1" applyFill="1" applyBorder="1"/>
    <xf numFmtId="9" fontId="64" fillId="2" borderId="21" xfId="2" applyFont="1" applyFill="1" applyBorder="1"/>
    <xf numFmtId="167" fontId="6" fillId="2" borderId="0" xfId="0" applyNumberFormat="1" applyFont="1" applyFill="1" applyBorder="1" applyAlignment="1">
      <alignment horizontal="right" wrapText="1"/>
    </xf>
    <xf numFmtId="171" fontId="1" fillId="2" borderId="0" xfId="3" applyNumberFormat="1" applyFont="1" applyFill="1"/>
    <xf numFmtId="171" fontId="1" fillId="3" borderId="0" xfId="3" applyNumberFormat="1" applyFont="1" applyFill="1"/>
    <xf numFmtId="170" fontId="1" fillId="3" borderId="0" xfId="2" applyNumberFormat="1" applyFont="1" applyFill="1"/>
    <xf numFmtId="184" fontId="65" fillId="2" borderId="0" xfId="0" applyNumberFormat="1" applyFont="1" applyFill="1" applyAlignment="1">
      <alignment horizontal="left"/>
    </xf>
    <xf numFmtId="184" fontId="65" fillId="2" borderId="0" xfId="0" applyNumberFormat="1" applyFont="1" applyFill="1"/>
    <xf numFmtId="0" fontId="65" fillId="2" borderId="0" xfId="0" applyFont="1" applyFill="1"/>
    <xf numFmtId="0" fontId="65" fillId="2" borderId="0" xfId="0" applyFont="1" applyFill="1" applyAlignment="1">
      <alignment horizontal="left"/>
    </xf>
    <xf numFmtId="0" fontId="65" fillId="2" borderId="0" xfId="0" applyFont="1" applyFill="1" applyAlignment="1">
      <alignment vertical="top" wrapText="1"/>
    </xf>
    <xf numFmtId="184" fontId="65" fillId="2" borderId="0" xfId="0" applyNumberFormat="1" applyFont="1" applyFill="1" applyAlignment="1">
      <alignment vertical="top" wrapText="1"/>
    </xf>
    <xf numFmtId="0" fontId="65" fillId="2" borderId="0" xfId="0" applyFont="1" applyFill="1" applyAlignment="1">
      <alignment vertical="top"/>
    </xf>
    <xf numFmtId="0" fontId="3" fillId="2" borderId="19" xfId="0" applyFont="1" applyFill="1" applyBorder="1"/>
    <xf numFmtId="171" fontId="3" fillId="2" borderId="19" xfId="3" applyNumberFormat="1" applyFont="1" applyFill="1" applyBorder="1"/>
    <xf numFmtId="171" fontId="3" fillId="3" borderId="19" xfId="3" applyNumberFormat="1" applyFont="1" applyFill="1" applyBorder="1"/>
    <xf numFmtId="0" fontId="6" fillId="2" borderId="4" xfId="0" applyFont="1" applyFill="1" applyBorder="1"/>
    <xf numFmtId="0" fontId="1" fillId="2" borderId="4" xfId="0" applyFont="1" applyFill="1" applyBorder="1"/>
    <xf numFmtId="170" fontId="1" fillId="2" borderId="0" xfId="0" applyNumberFormat="1" applyFont="1" applyFill="1"/>
    <xf numFmtId="9" fontId="1" fillId="2" borderId="0" xfId="2" applyNumberFormat="1" applyFont="1" applyFill="1"/>
    <xf numFmtId="167" fontId="67" fillId="4" borderId="0" xfId="0" applyNumberFormat="1" applyFont="1" applyFill="1" applyAlignment="1">
      <alignment horizontal="center"/>
    </xf>
  </cellXfs>
  <cellStyles count="166">
    <cellStyle name="%" xfId="135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'Revenues&amp;Ebitda'!$B$4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Pt>
            <c:idx val="4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CAE-4FFF-85F4-2ED53741C29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CAE-4FFF-85F4-2ED53741C29B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3CAE-4FFF-85F4-2ED53741C29B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3CAE-4FFF-85F4-2ED53741C29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3CAE-4FFF-85F4-2ED53741C29B}"/>
              </c:ext>
            </c:extLst>
          </c:dPt>
          <c:dLbls>
            <c:spPr>
              <a:solidFill>
                <a:schemeClr val="bg1">
                  <a:lumMod val="85000"/>
                </a:schemeClr>
              </a:solidFill>
            </c:spPr>
            <c:txPr>
              <a:bodyPr/>
              <a:lstStyle/>
              <a:p>
                <a:pPr>
                  <a:defRPr sz="7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'Revenues&amp;Ebitda'!$C$4:$K$4</c:f>
              <c:numCache>
                <c:formatCode>_(* #,##0_);_(* \(#,##0\);_(* "-"??_);_(@_)</c:formatCode>
                <c:ptCount val="9"/>
                <c:pt idx="0">
                  <c:v>177203</c:v>
                </c:pt>
                <c:pt idx="1">
                  <c:v>188618</c:v>
                </c:pt>
                <c:pt idx="2">
                  <c:v>208366</c:v>
                </c:pt>
                <c:pt idx="4">
                  <c:v>225035.28000000003</c:v>
                </c:pt>
                <c:pt idx="5">
                  <c:v>243038.10240000003</c:v>
                </c:pt>
                <c:pt idx="6">
                  <c:v>262481.15059200005</c:v>
                </c:pt>
                <c:pt idx="7">
                  <c:v>283479.6426393601</c:v>
                </c:pt>
                <c:pt idx="8">
                  <c:v>306158.01405050891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4562048"/>
        <c:axId val="104576128"/>
      </c:barChart>
      <c:lineChart>
        <c:grouping val="standard"/>
        <c:varyColors val="0"/>
        <c:ser>
          <c:idx val="1"/>
          <c:order val="1"/>
          <c:tx>
            <c:strRef>
              <c:f>'Revenues&amp;Ebitda'!$B$6</c:f>
              <c:strCache>
                <c:ptCount val="1"/>
                <c:pt idx="0">
                  <c:v>EBITDA%</c:v>
                </c:pt>
              </c:strCache>
            </c:strRef>
          </c:tx>
          <c:marker>
            <c:symbol val="none"/>
          </c:marker>
          <c:dLbls>
            <c:spPr>
              <a:solidFill>
                <a:schemeClr val="accent2">
                  <a:lumMod val="60000"/>
                  <a:lumOff val="40000"/>
                </a:schemeClr>
              </a:solidFill>
            </c:spPr>
            <c:txPr>
              <a:bodyPr/>
              <a:lstStyle/>
              <a:p>
                <a:pPr>
                  <a:defRPr sz="700"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'Revenues&amp;Ebitda'!$C$3:$K$3</c:f>
              <c:strCache>
                <c:ptCount val="9"/>
                <c:pt idx="0">
                  <c:v>FY16
Actual </c:v>
                </c:pt>
                <c:pt idx="1">
                  <c:v>FY17
Actual </c:v>
                </c:pt>
                <c:pt idx="2">
                  <c:v>FY18
Actual </c:v>
                </c:pt>
                <c:pt idx="4">
                  <c:v>FY19
Forecast </c:v>
                </c:pt>
                <c:pt idx="5">
                  <c:v>FY20
Forecast </c:v>
                </c:pt>
                <c:pt idx="6">
                  <c:v>FY21
Forecast </c:v>
                </c:pt>
                <c:pt idx="7">
                  <c:v>FY22
Forecast </c:v>
                </c:pt>
                <c:pt idx="8">
                  <c:v>FY23
Forecast </c:v>
                </c:pt>
              </c:strCache>
            </c:strRef>
          </c:cat>
          <c:val>
            <c:numRef>
              <c:f>'Revenues&amp;Ebitda'!$C$6:$K$6</c:f>
              <c:numCache>
                <c:formatCode>0.0%</c:formatCode>
                <c:ptCount val="9"/>
                <c:pt idx="0">
                  <c:v>0.11465560590584409</c:v>
                </c:pt>
                <c:pt idx="1">
                  <c:v>0.11247036868167416</c:v>
                </c:pt>
                <c:pt idx="2">
                  <c:v>0.14186994795025576</c:v>
                </c:pt>
                <c:pt idx="4">
                  <c:v>0.12648708771353537</c:v>
                </c:pt>
                <c:pt idx="5">
                  <c:v>0.12563619232734752</c:v>
                </c:pt>
                <c:pt idx="6">
                  <c:v>0.1248483262290255</c:v>
                </c:pt>
                <c:pt idx="7">
                  <c:v>0.12411882058243107</c:v>
                </c:pt>
                <c:pt idx="8">
                  <c:v>0.1234433523911399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3CAE-4FFF-85F4-2ED53741C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579840"/>
        <c:axId val="104578048"/>
      </c:lineChart>
      <c:catAx>
        <c:axId val="10456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576128"/>
        <c:crosses val="autoZero"/>
        <c:auto val="1"/>
        <c:lblAlgn val="ctr"/>
        <c:lblOffset val="100"/>
        <c:noMultiLvlLbl val="0"/>
      </c:catAx>
      <c:valAx>
        <c:axId val="104576128"/>
        <c:scaling>
          <c:orientation val="minMax"/>
          <c:max val="50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0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USD in thousand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</c:spPr>
        <c:crossAx val="104562048"/>
        <c:crosses val="autoZero"/>
        <c:crossBetween val="between"/>
        <c:majorUnit val="100000"/>
      </c:valAx>
      <c:valAx>
        <c:axId val="104578048"/>
        <c:scaling>
          <c:orientation val="minMax"/>
          <c:max val="0.2"/>
          <c:min val="5.000000000000001E-2"/>
        </c:scaling>
        <c:delete val="0"/>
        <c:axPos val="r"/>
        <c:numFmt formatCode="0.0%" sourceLinked="1"/>
        <c:majorTickMark val="out"/>
        <c:minorTickMark val="none"/>
        <c:tickLblPos val="nextTo"/>
        <c:crossAx val="104579840"/>
        <c:crosses val="max"/>
        <c:crossBetween val="between"/>
        <c:majorUnit val="5.000000000000001E-2"/>
      </c:valAx>
      <c:catAx>
        <c:axId val="104579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57804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'Cash flows'!$B$4</c:f>
              <c:strCache>
                <c:ptCount val="1"/>
                <c:pt idx="0">
                  <c:v>UFCF </c:v>
                </c:pt>
              </c:strCache>
            </c:strRef>
          </c:tx>
          <c:spPr>
            <a:solidFill>
              <a:srgbClr val="002060"/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flows'!$C$4:$G$4</c:f>
              <c:numCache>
                <c:formatCode>_(* #,##0_);_(* \(#,##0\);_(* "-"?_);@_)</c:formatCode>
                <c:ptCount val="5"/>
                <c:pt idx="0">
                  <c:v>13354.817763280244</c:v>
                </c:pt>
                <c:pt idx="1">
                  <c:v>9666.0812950941799</c:v>
                </c:pt>
                <c:pt idx="2">
                  <c:v>10273.927798701716</c:v>
                </c:pt>
                <c:pt idx="3">
                  <c:v>10930.402022597824</c:v>
                </c:pt>
                <c:pt idx="4">
                  <c:v>11639.394184405708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0-4DDA-A92E-21FF85D8614B}"/>
            </c:ext>
          </c:extLst>
        </c:ser>
        <c:ser>
          <c:idx val="1"/>
          <c:order val="1"/>
          <c:tx>
            <c:strRef>
              <c:f>'Cash flows'!$B$5</c:f>
              <c:strCache>
                <c:ptCount val="1"/>
                <c:pt idx="0">
                  <c:v>Present value of UFCF 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strRef>
              <c:f>'Cash flows'!$C$3:$G$3</c:f>
              <c:strCache>
                <c:ptCount val="5"/>
                <c:pt idx="0">
                  <c:v>FY19
Forecast </c:v>
                </c:pt>
                <c:pt idx="1">
                  <c:v>FY20
Forecast </c:v>
                </c:pt>
                <c:pt idx="2">
                  <c:v>FY21
Forecast </c:v>
                </c:pt>
                <c:pt idx="3">
                  <c:v>FY22
Forecast </c:v>
                </c:pt>
                <c:pt idx="4">
                  <c:v>FY23
Forecast </c:v>
                </c:pt>
              </c:strCache>
            </c:strRef>
          </c:cat>
          <c:val>
            <c:numRef>
              <c:f>'Cash flows'!$C$5:$G$5</c:f>
              <c:numCache>
                <c:formatCode>_(* #,##0_);_(* \(#,##0\);_(* "-"?_);@_)</c:formatCode>
                <c:ptCount val="5"/>
                <c:pt idx="0">
                  <c:v>12140.743421163857</c:v>
                </c:pt>
                <c:pt idx="1">
                  <c:v>7988.496938094363</c:v>
                </c:pt>
                <c:pt idx="2">
                  <c:v>7718.9540185587621</c:v>
                </c:pt>
                <c:pt idx="3">
                  <c:v>7465.6116539838949</c:v>
                </c:pt>
                <c:pt idx="4">
                  <c:v>7227.1480365882262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D0-4DDA-A92E-21FF85D86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945920"/>
        <c:axId val="104972288"/>
      </c:areaChart>
      <c:catAx>
        <c:axId val="1049459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4972288"/>
        <c:crosses val="autoZero"/>
        <c:auto val="1"/>
        <c:lblAlgn val="ctr"/>
        <c:lblOffset val="100"/>
        <c:noMultiLvlLbl val="0"/>
      </c:catAx>
      <c:valAx>
        <c:axId val="104972288"/>
        <c:scaling>
          <c:orientation val="minMax"/>
          <c:max val="40000"/>
          <c:min val="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8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</a:t>
                </a:r>
                <a:r>
                  <a:rPr lang="en-US" b="0" baseline="0"/>
                  <a:t> thousand</a:t>
                </a:r>
                <a:endParaRPr lang="en-US" b="0"/>
              </a:p>
            </c:rich>
          </c:tx>
          <c:overlay val="0"/>
        </c:title>
        <c:numFmt formatCode="_(* #,##0_);_(* \(#,##0\);_(* &quot;-&quot;?_);@_)" sourceLinked="1"/>
        <c:majorTickMark val="out"/>
        <c:minorTickMark val="none"/>
        <c:tickLblPos val="nextTo"/>
        <c:crossAx val="104945920"/>
        <c:crosses val="autoZero"/>
        <c:crossBetween val="midCat"/>
        <c:majorUnit val="10000"/>
      </c:valAx>
    </c:plotArea>
    <c:legend>
      <c:legendPos val="b"/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B8F-4FFE-9850-223D164221F9}"/>
              </c:ext>
            </c:extLst>
          </c:dPt>
          <c:dPt>
            <c:idx val="1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2B8F-4FFE-9850-223D164221F9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5-2B8F-4FFE-9850-223D164221F9}"/>
              </c:ext>
            </c:extLst>
          </c:dPt>
          <c:dPt>
            <c:idx val="3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7-2B8F-4FFE-9850-223D164221F9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bridge'!$K$2:$O$2</c:f>
              <c:numCache>
                <c:formatCode>0.0</c:formatCode>
                <c:ptCount val="5"/>
                <c:pt idx="0">
                  <c:v>29560.873574602992</c:v>
                </c:pt>
                <c:pt idx="1">
                  <c:v>29560.873574602992</c:v>
                </c:pt>
                <c:pt idx="2">
                  <c:v>28225.753599999989</c:v>
                </c:pt>
                <c:pt idx="3">
                  <c:v>28225.753599999989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8F-4FFE-9850-223D164221F9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A-2B8F-4FFE-9850-223D164221F9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C-2B8F-4FFE-9850-223D164221F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E-2B8F-4FFE-9850-223D164221F9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10-2B8F-4FFE-9850-223D164221F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B8F-4FFE-9850-223D164221F9}"/>
                </c:ext>
              </c:extLst>
            </c:dLbl>
            <c:dLbl>
              <c:idx val="3"/>
              <c:layout>
                <c:manualLayout>
                  <c:x val="-1.7137960582690661E-3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947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B8F-4FFE-9850-223D164221F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'Ebitda bridge'!$K$4:$O$4</c:f>
              <c:strCache>
                <c:ptCount val="5"/>
                <c:pt idx="0">
                  <c:v>EBITDA FY18</c:v>
                </c:pt>
                <c:pt idx="1">
                  <c:v>Delta Revenues</c:v>
                </c:pt>
                <c:pt idx="2">
                  <c:v>Delta Cogs</c:v>
                </c:pt>
                <c:pt idx="3">
                  <c:v>Delta Opex</c:v>
                </c:pt>
                <c:pt idx="4">
                  <c:v>EBITDA FY19</c:v>
                </c:pt>
              </c:strCache>
            </c:strRef>
          </c:cat>
          <c:val>
            <c:numRef>
              <c:f>'Ebitda bridge'!$K$3:$O$3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16669.280000000028</c:v>
                </c:pt>
                <c:pt idx="2">
                  <c:v>18004.399974603031</c:v>
                </c:pt>
                <c:pt idx="3">
                  <c:v>238.30360000000655</c:v>
                </c:pt>
                <c:pt idx="4">
                  <c:v>28464.057199999996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B8F-4FFE-9850-223D164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909056"/>
        <c:axId val="104921728"/>
      </c:barChart>
      <c:catAx>
        <c:axId val="10490905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ln>
            <a:noFill/>
          </a:ln>
        </c:spPr>
        <c:crossAx val="104921728"/>
        <c:crosses val="autoZero"/>
        <c:auto val="1"/>
        <c:lblAlgn val="ctr"/>
        <c:lblOffset val="100"/>
        <c:noMultiLvlLbl val="0"/>
      </c:catAx>
      <c:valAx>
        <c:axId val="10492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24000"/>
                </a:schemeClr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crossAx val="1049090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>
                <a:solidFill>
                  <a:srgbClr val="002060"/>
                </a:solidFill>
              </a:rPr>
              <a:t>FY11-FY18:</a:t>
            </a:r>
            <a:r>
              <a:rPr lang="en-US" b="1" baseline="0">
                <a:solidFill>
                  <a:srgbClr val="002060"/>
                </a:solidFill>
              </a:rPr>
              <a:t> </a:t>
            </a:r>
            <a:r>
              <a:rPr lang="en-US" b="1">
                <a:solidFill>
                  <a:srgbClr val="002060"/>
                </a:solidFill>
              </a:rPr>
              <a:t>Working</a:t>
            </a:r>
            <a:r>
              <a:rPr lang="en-US" b="1" baseline="0">
                <a:solidFill>
                  <a:srgbClr val="002060"/>
                </a:solidFill>
              </a:rPr>
              <a:t> capital development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1.0693830557425685E-2"/>
          <c:y val="2.3937766331211228E-2"/>
        </c:manualLayout>
      </c:layout>
      <c:overlay val="0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val>
            <c:numRef>
              <c:f>'Working capital'!$C$7:$K$7</c:f>
              <c:numCache>
                <c:formatCode>_(* #,##0_);_(* \(#,##0\);_(* "-"??_);_(@_)</c:formatCode>
                <c:ptCount val="9"/>
                <c:pt idx="0">
                  <c:v>48159.600000000006</c:v>
                </c:pt>
                <c:pt idx="1">
                  <c:v>48601.200000000004</c:v>
                </c:pt>
                <c:pt idx="2">
                  <c:v>53604.000000000007</c:v>
                </c:pt>
                <c:pt idx="4">
                  <c:v>58236.056987168457</c:v>
                </c:pt>
                <c:pt idx="5">
                  <c:v>62894.941546141927</c:v>
                </c:pt>
                <c:pt idx="6">
                  <c:v>67926.53686983329</c:v>
                </c:pt>
                <c:pt idx="7">
                  <c:v>73360.659819419961</c:v>
                </c:pt>
                <c:pt idx="8">
                  <c:v>79229.51260497357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45088"/>
        <c:axId val="105142912"/>
      </c:areaChart>
      <c:barChart>
        <c:barDir val="col"/>
        <c:grouping val="clustered"/>
        <c:varyColors val="0"/>
        <c:ser>
          <c:idx val="0"/>
          <c:order val="0"/>
          <c:tx>
            <c:strRef>
              <c:f>'Working capital'!$B$9</c:f>
              <c:strCache>
                <c:ptCount val="1"/>
                <c:pt idx="0">
                  <c:v>DSO 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capital'!$C$9:$K$9</c:f>
              <c:numCache>
                <c:formatCode>_(* #,##0_);_(* \(#,##0\);_(* "-"??_);_(@_)</c:formatCode>
                <c:ptCount val="9"/>
                <c:pt idx="0">
                  <c:v>66.805279820319072</c:v>
                </c:pt>
                <c:pt idx="1">
                  <c:v>73.588734903349632</c:v>
                </c:pt>
                <c:pt idx="2">
                  <c:v>75.297198199322338</c:v>
                </c:pt>
                <c:pt idx="4">
                  <c:v>75.297198199322338</c:v>
                </c:pt>
                <c:pt idx="5">
                  <c:v>75.297198199322338</c:v>
                </c:pt>
                <c:pt idx="6">
                  <c:v>75.297198199322338</c:v>
                </c:pt>
                <c:pt idx="7">
                  <c:v>75.297198199322338</c:v>
                </c:pt>
                <c:pt idx="8">
                  <c:v>75.297198199322338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5-440E-BA3F-9412B61A2863}"/>
            </c:ext>
          </c:extLst>
        </c:ser>
        <c:ser>
          <c:idx val="1"/>
          <c:order val="1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capital'!$C$10:$K$10</c:f>
              <c:numCache>
                <c:formatCode>_(* #,##0_);_(* \(#,##0\);_(* "-"??_);_(@_)</c:formatCode>
                <c:ptCount val="9"/>
                <c:pt idx="0">
                  <c:v>78.796599890979181</c:v>
                </c:pt>
                <c:pt idx="1">
                  <c:v>87.020385727810066</c:v>
                </c:pt>
                <c:pt idx="2">
                  <c:v>105.61192646702818</c:v>
                </c:pt>
                <c:pt idx="4">
                  <c:v>105.61192646702818</c:v>
                </c:pt>
                <c:pt idx="5">
                  <c:v>105.61192646702818</c:v>
                </c:pt>
                <c:pt idx="6">
                  <c:v>105.61192646702818</c:v>
                </c:pt>
                <c:pt idx="7">
                  <c:v>105.61192646702818</c:v>
                </c:pt>
                <c:pt idx="8">
                  <c:v>105.61192646702818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25-440E-BA3F-9412B61A2863}"/>
            </c:ext>
          </c:extLst>
        </c:ser>
        <c:ser>
          <c:idx val="2"/>
          <c:order val="2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'Working capital'!$C$3:$K$3</c:f>
              <c:strCache>
                <c:ptCount val="9"/>
                <c:pt idx="0">
                  <c:v>31Dec16
Actual </c:v>
                </c:pt>
                <c:pt idx="1">
                  <c:v>31Dec17
Actual </c:v>
                </c:pt>
                <c:pt idx="2">
                  <c:v>31Dec18
Actual </c:v>
                </c:pt>
                <c:pt idx="4">
                  <c:v>31Dec19
Forecast </c:v>
                </c:pt>
                <c:pt idx="5">
                  <c:v>31Dec20
Forecast </c:v>
                </c:pt>
                <c:pt idx="6">
                  <c:v>31Dec21
Forecast </c:v>
                </c:pt>
                <c:pt idx="7">
                  <c:v>31Dec22
Forecast </c:v>
                </c:pt>
                <c:pt idx="8">
                  <c:v>31Dec23
Forecast </c:v>
                </c:pt>
              </c:strCache>
            </c:strRef>
          </c:cat>
          <c:val>
            <c:numRef>
              <c:f>'Working capital'!$C$11:$K$11</c:f>
              <c:numCache>
                <c:formatCode>_(* #,##0_);_(* \(#,##0\);_(* "-"??_);_(@_)</c:formatCode>
                <c:ptCount val="9"/>
                <c:pt idx="0">
                  <c:v>40.175971155173656</c:v>
                </c:pt>
                <c:pt idx="1">
                  <c:v>63.003516697758023</c:v>
                </c:pt>
                <c:pt idx="2">
                  <c:v>82.706945686643365</c:v>
                </c:pt>
                <c:pt idx="4">
                  <c:v>82.706945686643365</c:v>
                </c:pt>
                <c:pt idx="5">
                  <c:v>82.706945686643365</c:v>
                </c:pt>
                <c:pt idx="6">
                  <c:v>82.706945686643365</c:v>
                </c:pt>
                <c:pt idx="7">
                  <c:v>82.706945686643365</c:v>
                </c:pt>
                <c:pt idx="8">
                  <c:v>82.706945686643365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5-440E-BA3F-9412B61A2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05126912"/>
        <c:axId val="105140992"/>
      </c:barChart>
      <c:catAx>
        <c:axId val="1051269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140992"/>
        <c:crosses val="autoZero"/>
        <c:auto val="1"/>
        <c:lblAlgn val="ctr"/>
        <c:lblOffset val="100"/>
        <c:noMultiLvlLbl val="0"/>
      </c:catAx>
      <c:valAx>
        <c:axId val="105140992"/>
        <c:scaling>
          <c:orientation val="minMax"/>
          <c:max val="150"/>
          <c:min val="30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4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days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26912"/>
        <c:crosses val="autoZero"/>
        <c:crossBetween val="between"/>
        <c:majorUnit val="30"/>
      </c:valAx>
      <c:valAx>
        <c:axId val="105142912"/>
        <c:scaling>
          <c:orientation val="minMax"/>
          <c:min val="3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="0"/>
                  <a:t>USD in thousands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5145088"/>
        <c:crosses val="max"/>
        <c:crossBetween val="between"/>
        <c:majorUnit val="10000"/>
      </c:valAx>
      <c:catAx>
        <c:axId val="105145088"/>
        <c:scaling>
          <c:orientation val="minMax"/>
        </c:scaling>
        <c:delete val="1"/>
        <c:axPos val="b"/>
        <c:majorTickMark val="out"/>
        <c:minorTickMark val="none"/>
        <c:tickLblPos val="nextTo"/>
        <c:crossAx val="10514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1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A914-4F65-ABCD-DA1E7546D821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14-4F65-ABCD-DA1E7546D821}"/>
                </c:ext>
              </c:extLst>
            </c:dLbl>
            <c:dLbl>
              <c:idx val="1"/>
              <c:layout>
                <c:manualLayout>
                  <c:x val="3.9170181466448663E-2"/>
                  <c:y val="3.84168932981944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14-4F65-ABCD-DA1E7546D82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results'!$C$6:$C$7</c:f>
              <c:numCache>
                <c:formatCode>General</c:formatCode>
                <c:ptCount val="2"/>
                <c:pt idx="0">
                  <c:v>0.30085866160702229</c:v>
                </c:pt>
                <c:pt idx="1">
                  <c:v>0.69914133839297776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14-4F65-ABCD-DA1E7546D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layout>
        <c:manualLayout>
          <c:xMode val="edge"/>
          <c:yMode val="edge"/>
          <c:x val="0.64373676235707755"/>
          <c:y val="0.36810746454991944"/>
          <c:w val="0.3322392211930919"/>
          <c:h val="0.2637850709001611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2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95D8-4672-958D-DAA82E878415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D8-4672-958D-DAA82E878415}"/>
                </c:ext>
              </c:extLst>
            </c:dLbl>
            <c:dLbl>
              <c:idx val="1"/>
              <c:layout>
                <c:manualLayout>
                  <c:x val="3.3426183844011144E-2"/>
                  <c:y val="3.284973584495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D8-4672-958D-DAA82E878415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results'!$H$6:$H$7</c:f>
              <c:numCache>
                <c:formatCode>General</c:formatCode>
                <c:ptCount val="2"/>
                <c:pt idx="0">
                  <c:v>0.31591165336933186</c:v>
                </c:pt>
                <c:pt idx="1">
                  <c:v>0.6840883466306682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D8-4672-958D-DAA82E878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>
                <a:solidFill>
                  <a:srgbClr val="002060"/>
                </a:solidFill>
              </a:rPr>
              <a:t>Enterprise Value: Scenario 3</a:t>
            </a:r>
            <a:endParaRPr lang="en-US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2.9312686889069208E-2"/>
          <c:y val="3.3402944719441566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32203773971149"/>
          <c:y val="0.16827588202185131"/>
          <c:w val="0.47231870389460373"/>
          <c:h val="0.70798549558221946"/>
        </c:manualLayout>
      </c:layout>
      <c:doughnutChart>
        <c:varyColors val="1"/>
        <c:ser>
          <c:idx val="0"/>
          <c:order val="0"/>
          <c:dPt>
            <c:idx val="1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4344-456C-8761-E3EBEC8EA847}"/>
              </c:ext>
            </c:extLst>
          </c:dPt>
          <c:dLbls>
            <c:dLbl>
              <c:idx val="0"/>
              <c:layout>
                <c:manualLayout>
                  <c:x val="-1.4856081708449397E-2"/>
                  <c:y val="-3.88780468132187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4-456C-8761-E3EBEC8EA847}"/>
                </c:ext>
              </c:extLst>
            </c:dLbl>
            <c:dLbl>
              <c:idx val="1"/>
              <c:layout>
                <c:manualLayout>
                  <c:x val="4.456824512534819E-2"/>
                  <c:y val="6.62526805643957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44-456C-8761-E3EBEC8EA847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'[1]DCF results'!$M$6:$M$7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'[1]DCF results'!$N$6:$N$7</c:f>
              <c:numCache>
                <c:formatCode>General</c:formatCode>
                <c:ptCount val="2"/>
                <c:pt idx="0">
                  <c:v>0.33470503116615574</c:v>
                </c:pt>
                <c:pt idx="1">
                  <c:v>0.6652949688338442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44-456C-8761-E3EBEC8EA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17584</xdr:colOff>
      <xdr:row>18</xdr:row>
      <xdr:rowOff>111370</xdr:rowOff>
    </xdr:from>
    <xdr:to>
      <xdr:col>10</xdr:col>
      <xdr:colOff>603738</xdr:colOff>
      <xdr:row>19</xdr:row>
      <xdr:rowOff>128954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9A98459-A6BF-49AC-B8EA-546E8FA698E0}"/>
            </a:ext>
          </a:extLst>
        </xdr:cNvPr>
        <xdr:cNvSpPr txBox="1"/>
      </xdr:nvSpPr>
      <xdr:spPr>
        <a:xfrm>
          <a:off x="4630615" y="2913185"/>
          <a:ext cx="2467708" cy="16412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WACC</a:t>
          </a:r>
        </a:p>
      </xdr:txBody>
    </xdr:sp>
    <xdr:clientData/>
  </xdr:twoCellAnchor>
  <xdr:twoCellAnchor>
    <xdr:from>
      <xdr:col>6</xdr:col>
      <xdr:colOff>193430</xdr:colOff>
      <xdr:row>21</xdr:row>
      <xdr:rowOff>5862</xdr:rowOff>
    </xdr:from>
    <xdr:to>
      <xdr:col>6</xdr:col>
      <xdr:colOff>445477</xdr:colOff>
      <xdr:row>24</xdr:row>
      <xdr:rowOff>134815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777B133-5DF8-4758-B581-77EEF7E68AE9}"/>
            </a:ext>
          </a:extLst>
        </xdr:cNvPr>
        <xdr:cNvSpPr txBox="1"/>
      </xdr:nvSpPr>
      <xdr:spPr>
        <a:xfrm>
          <a:off x="4120661" y="3253154"/>
          <a:ext cx="252047" cy="586153"/>
        </a:xfrm>
        <a:prstGeom prst="rect">
          <a:avLst/>
        </a:prstGeom>
        <a:solidFill>
          <a:srgbClr val="00206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47625</xdr:rowOff>
    </xdr:from>
    <xdr:to>
      <xdr:col>13</xdr:col>
      <xdr:colOff>133350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5661BE-E293-4A43-AE52-5190EFF3C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0.49319</cdr:x>
      <cdr:y>0.11574</cdr:y>
    </cdr:from>
    <cdr:to>
      <cdr:x>0.92949</cdr:x>
      <cdr:y>0.18519</cdr:y>
    </cdr:to>
    <cdr:sp macro="" textlink="">
      <cdr:nvSpPr>
        <cdr:cNvPr id="4" name="TextBox 2"/>
        <cdr:cNvSpPr txBox="1"/>
      </cdr:nvSpPr>
      <cdr:spPr>
        <a:xfrm xmlns:a="http://schemas.openxmlformats.org/drawingml/2006/main">
          <a:off x="3908425" y="317500"/>
          <a:ext cx="3457575" cy="1905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0.1242</cdr:x>
      <cdr:y>0.11574</cdr:y>
    </cdr:from>
    <cdr:to>
      <cdr:x>0.38141</cdr:x>
      <cdr:y>0.18866</cdr:y>
    </cdr:to>
    <cdr:sp macro="" textlink="">
      <cdr:nvSpPr>
        <cdr:cNvPr id="5" name="TextBox 3"/>
        <cdr:cNvSpPr txBox="1"/>
      </cdr:nvSpPr>
      <cdr:spPr>
        <a:xfrm xmlns:a="http://schemas.openxmlformats.org/drawingml/2006/main">
          <a:off x="984250" y="317500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114300</xdr:rowOff>
    </xdr:from>
    <xdr:to>
      <xdr:col>11</xdr:col>
      <xdr:colOff>533400</xdr:colOff>
      <xdr:row>25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F3DA06-A94B-4687-8875-9A98CF5B9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0</xdr:rowOff>
    </xdr:from>
    <xdr:to>
      <xdr:col>13</xdr:col>
      <xdr:colOff>161925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93B6A4-3BA7-4E50-81C1-C6F39068F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12</xdr:row>
      <xdr:rowOff>66675</xdr:rowOff>
    </xdr:from>
    <xdr:to>
      <xdr:col>12</xdr:col>
      <xdr:colOff>390525</xdr:colOff>
      <xdr:row>28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BDAC05-9148-4C03-885C-AD74663A4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0.46014</cdr:x>
      <cdr:y>0.11969</cdr:y>
    </cdr:from>
    <cdr:to>
      <cdr:x>0.88972</cdr:x>
      <cdr:y>0.19552</cdr:y>
    </cdr:to>
    <cdr:sp macro="" textlink="">
      <cdr:nvSpPr>
        <cdr:cNvPr id="2" name="TextBox 2"/>
        <cdr:cNvSpPr txBox="1"/>
      </cdr:nvSpPr>
      <cdr:spPr>
        <a:xfrm xmlns:a="http://schemas.openxmlformats.org/drawingml/2006/main">
          <a:off x="3317805" y="301542"/>
          <a:ext cx="3097454" cy="191044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</a:schemeClr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Forecast period</a:t>
          </a:r>
        </a:p>
      </cdr:txBody>
    </cdr:sp>
  </cdr:relSizeAnchor>
  <cdr:relSizeAnchor xmlns:cdr="http://schemas.openxmlformats.org/drawingml/2006/chartDrawing">
    <cdr:from>
      <cdr:x>0.08839</cdr:x>
      <cdr:y>0.11969</cdr:y>
    </cdr:from>
    <cdr:to>
      <cdr:x>0.35357</cdr:x>
      <cdr:y>0.19509</cdr:y>
    </cdr:to>
    <cdr:sp macro="" textlink="">
      <cdr:nvSpPr>
        <cdr:cNvPr id="3" name="TextBox 3"/>
        <cdr:cNvSpPr txBox="1"/>
      </cdr:nvSpPr>
      <cdr:spPr>
        <a:xfrm xmlns:a="http://schemas.openxmlformats.org/drawingml/2006/main">
          <a:off x="679450" y="317499"/>
          <a:ext cx="2038350" cy="200024"/>
        </a:xfrm>
        <a:prstGeom xmlns:a="http://schemas.openxmlformats.org/drawingml/2006/main" prst="rect">
          <a:avLst/>
        </a:prstGeom>
        <a:solidFill xmlns:a="http://schemas.openxmlformats.org/drawingml/2006/main">
          <a:srgbClr val="002060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Historical figures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8</xdr:row>
      <xdr:rowOff>95250</xdr:rowOff>
    </xdr:from>
    <xdr:to>
      <xdr:col>5</xdr:col>
      <xdr:colOff>104776</xdr:colOff>
      <xdr:row>23</xdr:row>
      <xdr:rowOff>90486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FA8248-E5CA-4BB8-8697-7EC26209A4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104776</xdr:colOff>
      <xdr:row>8</xdr:row>
      <xdr:rowOff>95250</xdr:rowOff>
    </xdr:from>
    <xdr:to>
      <xdr:col>10</xdr:col>
      <xdr:colOff>419101</xdr:colOff>
      <xdr:row>23</xdr:row>
      <xdr:rowOff>90486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5A8C7C0-2D36-4B0D-BB55-F6B87ABB8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104776</xdr:colOff>
      <xdr:row>8</xdr:row>
      <xdr:rowOff>95250</xdr:rowOff>
    </xdr:from>
    <xdr:to>
      <xdr:col>16</xdr:col>
      <xdr:colOff>419101</xdr:colOff>
      <xdr:row>23</xdr:row>
      <xdr:rowOff>90486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D23076-9511-4300-A6E8-71482B8E3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$208.4m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$134.7m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0.18942</cdr:x>
      <cdr:y>0.4058</cdr:y>
    </cdr:from>
    <cdr:to>
      <cdr:x>0.48468</cdr:x>
      <cdr:y>0.55901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647701" y="933451"/>
          <a:ext cx="1009650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0.23491</cdr:x>
      <cdr:y>0.47321</cdr:y>
    </cdr:from>
    <cdr:to>
      <cdr:x>0.48747</cdr:x>
      <cdr:y>0.58177</cdr:y>
    </cdr:to>
    <cdr:sp macro="" textlink="">
      <cdr:nvSpPr>
        <cdr:cNvPr id="3" name="TextBox 4"/>
        <cdr:cNvSpPr txBox="1"/>
      </cdr:nvSpPr>
      <cdr:spPr>
        <a:xfrm xmlns:a="http://schemas.openxmlformats.org/drawingml/2006/main">
          <a:off x="803275" y="1079500"/>
          <a:ext cx="863601" cy="247649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>
              <a:lumMod val="65000"/>
            </a:schemeClr>
          </a:solidFill>
        </a:ln>
        <a:effectLst xmlns:a="http://schemas.openxmlformats.org/drawingml/2006/main">
          <a:outerShdw blurRad="50800" dist="50800" dir="5400000" algn="ctr" rotWithShape="0">
            <a:srgbClr val="000000">
              <a:alpha val="24000"/>
            </a:srgbClr>
          </a:outerShdw>
        </a:effectLst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latin typeface="Arial" pitchFamily="34" charset="0"/>
              <a:cs typeface="Arial" pitchFamily="34" charset="0"/>
            </a:rPr>
            <a:t>$101</a:t>
          </a:r>
          <a:r>
            <a:rPr lang="en-US" sz="900" b="1" baseline="0">
              <a:latin typeface="Arial" pitchFamily="34" charset="0"/>
              <a:cs typeface="Arial" pitchFamily="34" charset="0"/>
            </a:rPr>
            <a:t> </a:t>
          </a:r>
          <a:r>
            <a:rPr lang="en-US" sz="900" b="1">
              <a:latin typeface="Arial" pitchFamily="34" charset="0"/>
              <a:cs typeface="Arial" pitchFamily="34" charset="0"/>
            </a:rPr>
            <a:t>.2m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w/Desktop/Courses/Video%20creating/Excel/4)%20DCF%20Valuation/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 Output --&gt;"/>
      <sheetName val="P&amp;L"/>
      <sheetName val="BS"/>
      <sheetName val="Cash Flow"/>
      <sheetName val="DCF valuation"/>
      <sheetName val="3.Charts --&gt;"/>
      <sheetName val="Revenues&amp;Ebitda"/>
      <sheetName val="Cash flows"/>
      <sheetName val="Ebitda bridge"/>
      <sheetName val="Working capital"/>
      <sheetName val="DCF results"/>
      <sheetName val="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K4" t="str">
            <v>EBITDA FY13</v>
          </cell>
        </row>
      </sheetData>
      <sheetData sheetId="13">
        <row r="3">
          <cell r="C3" t="str">
            <v>FY11
Actual</v>
          </cell>
        </row>
      </sheetData>
      <sheetData sheetId="14">
        <row r="6">
          <cell r="B6" t="str">
            <v>CFs in Forecast period</v>
          </cell>
          <cell r="C6">
            <v>0.30085866160702229</v>
          </cell>
          <cell r="G6" t="str">
            <v>CFs in Forecast period</v>
          </cell>
          <cell r="H6">
            <v>0.31591165336933186</v>
          </cell>
          <cell r="M6" t="str">
            <v>CFs in Forecast period</v>
          </cell>
          <cell r="N6">
            <v>0.33470503116615574</v>
          </cell>
        </row>
        <row r="7">
          <cell r="B7" t="str">
            <v>Continuing Value</v>
          </cell>
          <cell r="C7">
            <v>0.69914133839297776</v>
          </cell>
          <cell r="G7" t="str">
            <v>Continuing Value</v>
          </cell>
          <cell r="H7">
            <v>0.6840883466306682</v>
          </cell>
          <cell r="M7" t="str">
            <v>Continuing Value</v>
          </cell>
          <cell r="N7">
            <v>0.6652949688338442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defaultColWidth="9.109375" defaultRowHeight="11.4"/>
  <cols>
    <col min="1" max="1" width="2" style="1" customWidth="1"/>
    <col min="2" max="2" width="10" style="1" customWidth="1"/>
    <col min="3" max="3" width="26" style="1" customWidth="1"/>
    <col min="4" max="16384" width="9.109375" style="1"/>
  </cols>
  <sheetData>
    <row r="1" spans="2:3" ht="15.6">
      <c r="B1" s="2" t="s">
        <v>4</v>
      </c>
    </row>
    <row r="2" spans="2:3" ht="12">
      <c r="B2" s="5" t="s">
        <v>5</v>
      </c>
    </row>
    <row r="4" spans="2:3" ht="12.6" thickBot="1">
      <c r="B4" s="4" t="s">
        <v>2</v>
      </c>
      <c r="C4" s="4" t="s">
        <v>3</v>
      </c>
    </row>
    <row r="5" spans="2:3" ht="12">
      <c r="B5" s="40">
        <v>1</v>
      </c>
      <c r="C5" s="41" t="s">
        <v>56</v>
      </c>
    </row>
    <row r="6" spans="2:3">
      <c r="B6" s="28">
        <f>B5+1</f>
        <v>2</v>
      </c>
      <c r="C6" s="46" t="s">
        <v>23</v>
      </c>
    </row>
    <row r="7" spans="2:3">
      <c r="B7" s="28">
        <f t="shared" ref="B7:B21" si="0">B6+1</f>
        <v>3</v>
      </c>
      <c r="C7" s="46" t="s">
        <v>24</v>
      </c>
    </row>
    <row r="8" spans="2:3" ht="12">
      <c r="B8" s="40">
        <f t="shared" si="0"/>
        <v>4</v>
      </c>
      <c r="C8" s="41" t="s">
        <v>57</v>
      </c>
    </row>
    <row r="9" spans="2:3">
      <c r="B9" s="28">
        <f t="shared" si="0"/>
        <v>5</v>
      </c>
      <c r="C9" s="46" t="s">
        <v>6</v>
      </c>
    </row>
    <row r="10" spans="2:3">
      <c r="B10" s="28">
        <f t="shared" si="0"/>
        <v>6</v>
      </c>
      <c r="C10" s="46" t="s">
        <v>22</v>
      </c>
    </row>
    <row r="11" spans="2:3">
      <c r="B11" s="28">
        <f t="shared" si="0"/>
        <v>7</v>
      </c>
      <c r="C11" s="46" t="s">
        <v>25</v>
      </c>
    </row>
    <row r="12" spans="2:3">
      <c r="B12" s="28">
        <f t="shared" si="0"/>
        <v>8</v>
      </c>
      <c r="C12" s="46" t="s">
        <v>51</v>
      </c>
    </row>
    <row r="13" spans="2:3" ht="12">
      <c r="B13" s="40">
        <f t="shared" si="0"/>
        <v>9</v>
      </c>
      <c r="C13" s="41" t="s">
        <v>63</v>
      </c>
    </row>
    <row r="14" spans="2:3">
      <c r="B14" s="28">
        <f t="shared" si="0"/>
        <v>10</v>
      </c>
      <c r="C14" s="46" t="s">
        <v>58</v>
      </c>
    </row>
    <row r="15" spans="2:3">
      <c r="B15" s="28">
        <f t="shared" si="0"/>
        <v>11</v>
      </c>
      <c r="C15" s="46" t="s">
        <v>55</v>
      </c>
    </row>
    <row r="16" spans="2:3">
      <c r="B16" s="28">
        <f t="shared" si="0"/>
        <v>12</v>
      </c>
      <c r="C16" s="46" t="s">
        <v>59</v>
      </c>
    </row>
    <row r="17" spans="2:3">
      <c r="B17" s="28">
        <f t="shared" si="0"/>
        <v>13</v>
      </c>
      <c r="C17" s="46" t="s">
        <v>60</v>
      </c>
    </row>
    <row r="18" spans="2:3">
      <c r="B18" s="28">
        <f t="shared" si="0"/>
        <v>14</v>
      </c>
      <c r="C18" s="46" t="s">
        <v>61</v>
      </c>
    </row>
    <row r="19" spans="2:3" ht="12">
      <c r="B19" s="40">
        <f t="shared" si="0"/>
        <v>15</v>
      </c>
      <c r="C19" s="41" t="s">
        <v>62</v>
      </c>
    </row>
    <row r="20" spans="2:3">
      <c r="B20" s="28">
        <f t="shared" si="0"/>
        <v>16</v>
      </c>
      <c r="C20" s="46" t="s">
        <v>1</v>
      </c>
    </row>
    <row r="21" spans="2:3">
      <c r="B21" s="28">
        <f t="shared" si="0"/>
        <v>17</v>
      </c>
      <c r="C21" s="46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1"/>
  <sheetViews>
    <sheetView zoomScale="130" zoomScaleNormal="130" workbookViewId="0">
      <pane ySplit="8" topLeftCell="A32" activePane="bottomLeft" state="frozen"/>
      <selection pane="bottomLeft" activeCell="D5" sqref="D5"/>
    </sheetView>
  </sheetViews>
  <sheetFormatPr defaultColWidth="9.109375" defaultRowHeight="11.4"/>
  <cols>
    <col min="1" max="1" width="2" style="7" customWidth="1"/>
    <col min="2" max="2" width="21.88671875" style="7" bestFit="1" customWidth="1"/>
    <col min="3" max="3" width="10.5546875" style="7" bestFit="1" customWidth="1"/>
    <col min="4" max="5" width="9.109375" style="7"/>
    <col min="6" max="6" width="2" style="7" customWidth="1"/>
    <col min="7" max="7" width="11" style="7" bestFit="1" customWidth="1"/>
    <col min="8" max="11" width="10.5546875" style="7" bestFit="1" customWidth="1"/>
    <col min="12" max="12" width="9.109375" style="7"/>
    <col min="13" max="13" width="22.109375" style="7" bestFit="1" customWidth="1"/>
    <col min="14" max="16384" width="9.109375" style="7"/>
  </cols>
  <sheetData>
    <row r="1" spans="1:14" ht="15.6">
      <c r="A1" s="1"/>
      <c r="B1" s="6" t="s">
        <v>23</v>
      </c>
    </row>
    <row r="2" spans="1:14">
      <c r="G2" s="7" t="s">
        <v>96</v>
      </c>
    </row>
    <row r="3" spans="1:14">
      <c r="G3" s="7" t="s">
        <v>89</v>
      </c>
      <c r="H3" s="7" t="s">
        <v>92</v>
      </c>
    </row>
    <row r="4" spans="1:14">
      <c r="G4" s="7" t="s">
        <v>90</v>
      </c>
      <c r="H4" s="7" t="s">
        <v>93</v>
      </c>
    </row>
    <row r="5" spans="1:14" ht="12">
      <c r="B5" s="7" t="s">
        <v>95</v>
      </c>
      <c r="C5" s="41">
        <v>2</v>
      </c>
      <c r="G5" s="7" t="s">
        <v>91</v>
      </c>
      <c r="H5" s="7" t="s">
        <v>94</v>
      </c>
    </row>
    <row r="7" spans="1:14" ht="3.75" customHeight="1"/>
    <row r="8" spans="1:14" ht="24.6" thickBot="1">
      <c r="B8" s="17" t="s">
        <v>47</v>
      </c>
      <c r="C8" s="18" t="s">
        <v>67</v>
      </c>
      <c r="D8" s="18" t="s">
        <v>68</v>
      </c>
      <c r="E8" s="18" t="s">
        <v>69</v>
      </c>
      <c r="F8" s="21"/>
      <c r="G8" s="19" t="s">
        <v>70</v>
      </c>
      <c r="H8" s="19" t="s">
        <v>71</v>
      </c>
      <c r="I8" s="19" t="s">
        <v>72</v>
      </c>
      <c r="J8" s="19" t="s">
        <v>73</v>
      </c>
      <c r="K8" s="19" t="s">
        <v>74</v>
      </c>
    </row>
    <row r="9" spans="1:14" ht="12">
      <c r="B9" s="7" t="s">
        <v>66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7">
        <f>E9*(1+G10)</f>
        <v>225035.28000000003</v>
      </c>
      <c r="H9" s="27">
        <f>G9*(1+H10)</f>
        <v>243038.10240000003</v>
      </c>
      <c r="I9" s="27">
        <f t="shared" ref="I9:K9" si="0">H9*(1+I10)</f>
        <v>262481.15059200005</v>
      </c>
      <c r="J9" s="27">
        <f t="shared" si="0"/>
        <v>283479.6426393601</v>
      </c>
      <c r="K9" s="27">
        <f t="shared" si="0"/>
        <v>306158.01405050891</v>
      </c>
      <c r="N9" s="21"/>
    </row>
    <row r="10" spans="1:14">
      <c r="B10" s="7" t="s">
        <v>97</v>
      </c>
      <c r="C10" s="35"/>
      <c r="D10" s="25">
        <f>D9/C9-1</f>
        <v>6.4417645299458703E-2</v>
      </c>
      <c r="E10" s="25">
        <f>E9/D9-1</f>
        <v>0.10469838509580209</v>
      </c>
      <c r="G10" s="26">
        <f>CHOOSE($C$5,G11,G12,G13)</f>
        <v>0.08</v>
      </c>
      <c r="H10" s="26">
        <f t="shared" ref="H10:K10" si="1">CHOOSE($C$5,H11,H12,H13)</f>
        <v>0.08</v>
      </c>
      <c r="I10" s="26">
        <f t="shared" si="1"/>
        <v>0.08</v>
      </c>
      <c r="J10" s="26">
        <f t="shared" si="1"/>
        <v>0.08</v>
      </c>
      <c r="K10" s="26">
        <f t="shared" si="1"/>
        <v>0.08</v>
      </c>
    </row>
    <row r="11" spans="1:14">
      <c r="B11" s="7" t="s">
        <v>89</v>
      </c>
      <c r="C11" s="48"/>
      <c r="D11" s="48"/>
      <c r="E11" s="48"/>
      <c r="G11" s="26">
        <v>0.1</v>
      </c>
      <c r="H11" s="26">
        <v>0.1</v>
      </c>
      <c r="I11" s="26">
        <v>0.1</v>
      </c>
      <c r="J11" s="26">
        <v>0.1</v>
      </c>
      <c r="K11" s="26">
        <v>0.1</v>
      </c>
    </row>
    <row r="12" spans="1:14">
      <c r="B12" s="7" t="s">
        <v>90</v>
      </c>
      <c r="C12" s="48"/>
      <c r="D12" s="48"/>
      <c r="E12" s="48"/>
      <c r="G12" s="26">
        <v>0.08</v>
      </c>
      <c r="H12" s="26">
        <v>0.08</v>
      </c>
      <c r="I12" s="26">
        <v>0.08</v>
      </c>
      <c r="J12" s="26">
        <v>0.08</v>
      </c>
      <c r="K12" s="26">
        <v>0.08</v>
      </c>
    </row>
    <row r="13" spans="1:14">
      <c r="B13" s="7" t="s">
        <v>91</v>
      </c>
      <c r="C13" s="48"/>
      <c r="D13" s="48"/>
      <c r="E13" s="48"/>
      <c r="G13" s="26">
        <v>0.04</v>
      </c>
      <c r="H13" s="26">
        <v>0.04</v>
      </c>
      <c r="I13" s="26">
        <v>0.04</v>
      </c>
      <c r="J13" s="26">
        <v>0.04</v>
      </c>
      <c r="K13" s="26">
        <v>0.04</v>
      </c>
    </row>
    <row r="14" spans="1:14" ht="3.75" customHeight="1">
      <c r="G14" s="27"/>
      <c r="H14" s="27"/>
      <c r="I14" s="27"/>
      <c r="J14" s="27"/>
      <c r="K14" s="27"/>
    </row>
    <row r="15" spans="1:14">
      <c r="B15" s="7" t="s">
        <v>98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7">
        <f>E15*(1+G16)</f>
        <v>2585</v>
      </c>
      <c r="H15" s="27">
        <f>G15*(1+H16)</f>
        <v>2585</v>
      </c>
      <c r="I15" s="27">
        <f t="shared" ref="I15" si="2">H15*(1+I16)</f>
        <v>2585</v>
      </c>
      <c r="J15" s="27">
        <f t="shared" ref="J15" si="3">I15*(1+J16)</f>
        <v>2585</v>
      </c>
      <c r="K15" s="27">
        <f t="shared" ref="K15" si="4">J15*(1+K16)</f>
        <v>2585</v>
      </c>
    </row>
    <row r="16" spans="1:14">
      <c r="B16" s="7" t="s">
        <v>99</v>
      </c>
      <c r="C16" s="13"/>
      <c r="D16" s="13"/>
      <c r="E16" s="13"/>
      <c r="G16" s="26">
        <f>CHOOSE($C$5,G17,G18,G19)</f>
        <v>0</v>
      </c>
      <c r="H16" s="26">
        <f t="shared" ref="H16:K16" si="5">CHOOSE($C$5,H17,H18,H19)</f>
        <v>0</v>
      </c>
      <c r="I16" s="26">
        <f t="shared" si="5"/>
        <v>0</v>
      </c>
      <c r="J16" s="26">
        <f t="shared" si="5"/>
        <v>0</v>
      </c>
      <c r="K16" s="26">
        <f t="shared" si="5"/>
        <v>0</v>
      </c>
    </row>
    <row r="17" spans="2:11">
      <c r="B17" s="7" t="s">
        <v>100</v>
      </c>
      <c r="C17" s="48"/>
      <c r="D17" s="48"/>
      <c r="E17" s="48"/>
      <c r="G17" s="26">
        <v>0</v>
      </c>
      <c r="H17" s="26">
        <v>0</v>
      </c>
      <c r="I17" s="26">
        <v>0</v>
      </c>
      <c r="J17" s="26">
        <v>0</v>
      </c>
      <c r="K17" s="26">
        <v>0</v>
      </c>
    </row>
    <row r="18" spans="2:11">
      <c r="B18" s="7" t="s">
        <v>101</v>
      </c>
      <c r="C18" s="48"/>
      <c r="D18" s="48"/>
      <c r="E18" s="48"/>
      <c r="G18" s="26">
        <v>0</v>
      </c>
      <c r="H18" s="26">
        <v>0</v>
      </c>
      <c r="I18" s="26">
        <v>0</v>
      </c>
      <c r="J18" s="26">
        <v>0</v>
      </c>
      <c r="K18" s="26">
        <v>0</v>
      </c>
    </row>
    <row r="19" spans="2:11">
      <c r="B19" s="7" t="s">
        <v>102</v>
      </c>
      <c r="C19" s="48"/>
      <c r="D19" s="48"/>
      <c r="E19" s="48"/>
      <c r="G19" s="26">
        <v>0</v>
      </c>
      <c r="H19" s="26">
        <v>0</v>
      </c>
      <c r="I19" s="26">
        <v>0</v>
      </c>
      <c r="J19" s="26">
        <v>0</v>
      </c>
      <c r="K19" s="26">
        <v>0</v>
      </c>
    </row>
    <row r="20" spans="2:11" ht="3.75" customHeight="1">
      <c r="C20" s="13"/>
      <c r="D20" s="13"/>
      <c r="E20" s="13"/>
      <c r="G20" s="27"/>
      <c r="H20" s="27"/>
      <c r="I20" s="27"/>
      <c r="J20" s="27"/>
      <c r="K20" s="27"/>
    </row>
    <row r="21" spans="2:11">
      <c r="B21" s="7" t="s">
        <v>103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37">
        <f>G22*G$9</f>
        <v>-175527.51840000003</v>
      </c>
      <c r="H21" s="37">
        <f t="shared" ref="H21:K21" si="6">H22*H$9</f>
        <v>-189569.71987200005</v>
      </c>
      <c r="I21" s="37">
        <f t="shared" si="6"/>
        <v>-204735.29746176006</v>
      </c>
      <c r="J21" s="37">
        <f t="shared" si="6"/>
        <v>-221114.12125870088</v>
      </c>
      <c r="K21" s="37">
        <f t="shared" si="6"/>
        <v>-238803.25095939694</v>
      </c>
    </row>
    <row r="22" spans="2:11">
      <c r="B22" s="7" t="s">
        <v>104</v>
      </c>
      <c r="C22" s="24">
        <f>C21/C$9</f>
        <v>-0.8035663474470901</v>
      </c>
      <c r="D22" s="24">
        <f t="shared" ref="D22:E22" si="7">D21/D$9</f>
        <v>-0.79829160737575411</v>
      </c>
      <c r="E22" s="24">
        <f t="shared" si="7"/>
        <v>-0.75599242882906514</v>
      </c>
      <c r="G22" s="26">
        <f>CHOOSE($C$5,G23,G24,G25)</f>
        <v>-0.78</v>
      </c>
      <c r="H22" s="26">
        <f t="shared" ref="H22:K22" si="8">CHOOSE($C$5,H23,H24,H25)</f>
        <v>-0.78</v>
      </c>
      <c r="I22" s="26">
        <f t="shared" si="8"/>
        <v>-0.78</v>
      </c>
      <c r="J22" s="26">
        <f t="shared" si="8"/>
        <v>-0.78</v>
      </c>
      <c r="K22" s="26">
        <f t="shared" si="8"/>
        <v>-0.78</v>
      </c>
    </row>
    <row r="23" spans="2:11">
      <c r="B23" s="7" t="s">
        <v>100</v>
      </c>
      <c r="C23" s="48"/>
      <c r="D23" s="48"/>
      <c r="E23" s="48"/>
      <c r="G23" s="26">
        <v>-0.76</v>
      </c>
      <c r="H23" s="26">
        <v>-0.76</v>
      </c>
      <c r="I23" s="26">
        <v>-0.76</v>
      </c>
      <c r="J23" s="26">
        <v>-0.76</v>
      </c>
      <c r="K23" s="26">
        <v>-0.76</v>
      </c>
    </row>
    <row r="24" spans="2:11">
      <c r="B24" s="7" t="s">
        <v>101</v>
      </c>
      <c r="C24" s="48"/>
      <c r="D24" s="48"/>
      <c r="E24" s="48"/>
      <c r="G24" s="26">
        <v>-0.78</v>
      </c>
      <c r="H24" s="26">
        <v>-0.78</v>
      </c>
      <c r="I24" s="26">
        <v>-0.78</v>
      </c>
      <c r="J24" s="26">
        <v>-0.78</v>
      </c>
      <c r="K24" s="26">
        <v>-0.78</v>
      </c>
    </row>
    <row r="25" spans="2:11" ht="12" customHeight="1">
      <c r="B25" s="7" t="s">
        <v>102</v>
      </c>
      <c r="C25" s="48"/>
      <c r="D25" s="48"/>
      <c r="E25" s="48"/>
      <c r="G25" s="26">
        <v>-0.8</v>
      </c>
      <c r="H25" s="26">
        <v>-0.8</v>
      </c>
      <c r="I25" s="26">
        <v>-0.8</v>
      </c>
      <c r="J25" s="26">
        <v>-0.8</v>
      </c>
      <c r="K25" s="26">
        <v>-0.8</v>
      </c>
    </row>
    <row r="26" spans="2:11" ht="3.75" customHeight="1">
      <c r="C26" s="13"/>
      <c r="D26" s="13"/>
      <c r="E26" s="13"/>
      <c r="G26" s="27"/>
      <c r="H26" s="27"/>
      <c r="I26" s="27"/>
      <c r="J26" s="27"/>
      <c r="K26" s="27"/>
    </row>
    <row r="27" spans="2:11" ht="12" customHeight="1">
      <c r="B27" s="7" t="s">
        <v>105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37">
        <f t="shared" ref="G27:K27" si="9">G28*G$9</f>
        <v>-23628.704400000002</v>
      </c>
      <c r="H27" s="37">
        <f t="shared" si="9"/>
        <v>-25519.000752000004</v>
      </c>
      <c r="I27" s="37">
        <f t="shared" si="9"/>
        <v>-27560.520812160004</v>
      </c>
      <c r="J27" s="37">
        <f t="shared" si="9"/>
        <v>-29765.36247713281</v>
      </c>
      <c r="K27" s="37">
        <f t="shared" si="9"/>
        <v>-32146.591475303434</v>
      </c>
    </row>
    <row r="28" spans="2:11" ht="12" customHeight="1">
      <c r="B28" s="7" t="s">
        <v>104</v>
      </c>
      <c r="C28" s="25">
        <f t="shared" ref="C28:E28" si="10">C27/C$9</f>
        <v>-0.10164227016472635</v>
      </c>
      <c r="D28" s="25">
        <f t="shared" si="10"/>
        <v>-0.10204698173026963</v>
      </c>
      <c r="E28" s="25">
        <f t="shared" si="10"/>
        <v>-0.11454367795129727</v>
      </c>
      <c r="G28" s="26">
        <f>CHOOSE($C$5,G29,G30,G31)</f>
        <v>-0.105</v>
      </c>
      <c r="H28" s="26">
        <f t="shared" ref="H28:K28" si="11">CHOOSE($C$5,H29,H30,H31)</f>
        <v>-0.105</v>
      </c>
      <c r="I28" s="26">
        <f t="shared" si="11"/>
        <v>-0.105</v>
      </c>
      <c r="J28" s="26">
        <f t="shared" si="11"/>
        <v>-0.105</v>
      </c>
      <c r="K28" s="26">
        <f t="shared" si="11"/>
        <v>-0.105</v>
      </c>
    </row>
    <row r="29" spans="2:11" ht="12" customHeight="1">
      <c r="B29" s="7" t="s">
        <v>100</v>
      </c>
      <c r="C29" s="48"/>
      <c r="D29" s="48"/>
      <c r="E29" s="48"/>
      <c r="G29" s="26">
        <v>-0.1</v>
      </c>
      <c r="H29" s="26">
        <v>-0.1</v>
      </c>
      <c r="I29" s="26">
        <v>-0.1</v>
      </c>
      <c r="J29" s="26">
        <v>-0.1</v>
      </c>
      <c r="K29" s="26">
        <v>-0.1</v>
      </c>
    </row>
    <row r="30" spans="2:11" ht="12" customHeight="1">
      <c r="B30" s="7" t="s">
        <v>101</v>
      </c>
      <c r="C30" s="48"/>
      <c r="D30" s="48"/>
      <c r="E30" s="48"/>
      <c r="G30" s="26">
        <v>-0.105</v>
      </c>
      <c r="H30" s="26">
        <v>-0.105</v>
      </c>
      <c r="I30" s="26">
        <v>-0.105</v>
      </c>
      <c r="J30" s="26">
        <v>-0.105</v>
      </c>
      <c r="K30" s="26">
        <v>-0.105</v>
      </c>
    </row>
    <row r="31" spans="2:11" ht="12" customHeight="1">
      <c r="B31" s="7" t="s">
        <v>102</v>
      </c>
      <c r="C31" s="48"/>
      <c r="D31" s="48"/>
      <c r="E31" s="48"/>
      <c r="G31" s="26">
        <v>-0.11</v>
      </c>
      <c r="H31" s="26">
        <v>-0.11</v>
      </c>
      <c r="I31" s="26">
        <v>-0.11</v>
      </c>
      <c r="J31" s="26">
        <v>-0.11</v>
      </c>
      <c r="K31" s="26">
        <v>-0.11</v>
      </c>
    </row>
    <row r="32" spans="2:11" ht="3.75" customHeight="1">
      <c r="C32" s="13"/>
      <c r="D32" s="13"/>
      <c r="E32" s="13"/>
      <c r="G32" s="26"/>
      <c r="H32" s="26"/>
      <c r="I32" s="26"/>
      <c r="J32" s="26"/>
      <c r="K32" s="26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37">
        <f t="shared" ref="G33" si="12">G34*G$9</f>
        <v>-5625.8820000000014</v>
      </c>
      <c r="H33" s="37">
        <f t="shared" ref="H33" si="13">H34*H$9</f>
        <v>-6075.9525600000015</v>
      </c>
      <c r="I33" s="37">
        <f t="shared" ref="I33" si="14">I34*I$9</f>
        <v>-6562.0287648000012</v>
      </c>
      <c r="J33" s="37">
        <f t="shared" ref="J33" si="15">J34*J$9</f>
        <v>-7086.9910659840025</v>
      </c>
      <c r="K33" s="37">
        <f t="shared" ref="K33" si="16">K34*K$9</f>
        <v>-7653.9503512627234</v>
      </c>
    </row>
    <row r="34" spans="2:11">
      <c r="B34" s="7" t="s">
        <v>104</v>
      </c>
      <c r="C34" s="25">
        <f t="shared" ref="C34:E34" si="17">C33/C$9</f>
        <v>-1.6409428734276511E-2</v>
      </c>
      <c r="D34" s="25">
        <f t="shared" si="17"/>
        <v>-2.4651942020379815E-2</v>
      </c>
      <c r="E34" s="25">
        <f t="shared" si="17"/>
        <v>-3.0862328786846225E-2</v>
      </c>
      <c r="G34" s="26">
        <f>CHOOSE($C$5,G35,G36,G37)</f>
        <v>-2.5000000000000001E-2</v>
      </c>
      <c r="H34" s="26">
        <f t="shared" ref="H34:K34" si="18">CHOOSE($C$5,H35,H36,H37)</f>
        <v>-2.5000000000000001E-2</v>
      </c>
      <c r="I34" s="26">
        <f t="shared" si="18"/>
        <v>-2.5000000000000001E-2</v>
      </c>
      <c r="J34" s="26">
        <f t="shared" si="18"/>
        <v>-2.5000000000000001E-2</v>
      </c>
      <c r="K34" s="26">
        <f t="shared" si="18"/>
        <v>-2.5000000000000001E-2</v>
      </c>
    </row>
    <row r="35" spans="2:11">
      <c r="B35" s="7" t="s">
        <v>100</v>
      </c>
      <c r="C35" s="48"/>
      <c r="D35" s="48"/>
      <c r="E35" s="48"/>
      <c r="G35" s="26">
        <v>-0.02</v>
      </c>
      <c r="H35" s="26">
        <v>-0.02</v>
      </c>
      <c r="I35" s="26">
        <v>-0.02</v>
      </c>
      <c r="J35" s="26">
        <v>-0.02</v>
      </c>
      <c r="K35" s="26">
        <v>-0.02</v>
      </c>
    </row>
    <row r="36" spans="2:11">
      <c r="B36" s="7" t="s">
        <v>101</v>
      </c>
      <c r="C36" s="48"/>
      <c r="D36" s="48"/>
      <c r="E36" s="48"/>
      <c r="G36" s="26">
        <v>-2.5000000000000001E-2</v>
      </c>
      <c r="H36" s="26">
        <v>-2.5000000000000001E-2</v>
      </c>
      <c r="I36" s="26">
        <v>-2.5000000000000001E-2</v>
      </c>
      <c r="J36" s="26">
        <v>-2.5000000000000001E-2</v>
      </c>
      <c r="K36" s="26">
        <v>-2.5000000000000001E-2</v>
      </c>
    </row>
    <row r="37" spans="2:11" ht="12" customHeight="1">
      <c r="B37" s="7" t="s">
        <v>102</v>
      </c>
      <c r="C37" s="48"/>
      <c r="D37" s="48"/>
      <c r="E37" s="48"/>
      <c r="G37" s="26">
        <v>-0.03</v>
      </c>
      <c r="H37" s="26">
        <v>-0.03</v>
      </c>
      <c r="I37" s="26">
        <v>-0.03</v>
      </c>
      <c r="J37" s="26">
        <v>-0.03</v>
      </c>
      <c r="K37" s="26">
        <v>-0.03</v>
      </c>
    </row>
    <row r="38" spans="2:11" ht="3.75" customHeight="1">
      <c r="C38" s="13"/>
      <c r="D38" s="13"/>
      <c r="E38" s="13"/>
      <c r="G38" s="26"/>
      <c r="H38" s="26"/>
      <c r="I38" s="26"/>
      <c r="J38" s="26"/>
      <c r="K38" s="26"/>
    </row>
    <row r="39" spans="2:11" ht="12" customHeight="1">
      <c r="B39" s="7" t="s">
        <v>106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7">
        <f>E39*(1+G40)</f>
        <v>-2663.92</v>
      </c>
      <c r="H39" s="27">
        <f>G39*(1+H40)</f>
        <v>-2663.92</v>
      </c>
      <c r="I39" s="27">
        <f t="shared" ref="I39" si="19">H39*(1+I40)</f>
        <v>-2663.92</v>
      </c>
      <c r="J39" s="27">
        <f t="shared" ref="J39" si="20">I39*(1+J40)</f>
        <v>-2663.92</v>
      </c>
      <c r="K39" s="27">
        <f t="shared" ref="K39" si="21">J39*(1+K40)</f>
        <v>-2663.92</v>
      </c>
    </row>
    <row r="40" spans="2:11" ht="12" customHeight="1">
      <c r="B40" s="7" t="s">
        <v>99</v>
      </c>
      <c r="C40" s="49"/>
      <c r="D40" s="49"/>
      <c r="E40" s="49"/>
      <c r="G40" s="26">
        <f>CHOOSE($C$5,G41,G42,G43)</f>
        <v>0</v>
      </c>
      <c r="H40" s="26">
        <f t="shared" ref="H40:K40" si="22">CHOOSE($C$5,H41,H42,H43)</f>
        <v>0</v>
      </c>
      <c r="I40" s="26">
        <f t="shared" si="22"/>
        <v>0</v>
      </c>
      <c r="J40" s="26">
        <f t="shared" si="22"/>
        <v>0</v>
      </c>
      <c r="K40" s="26">
        <f t="shared" si="22"/>
        <v>0</v>
      </c>
    </row>
    <row r="41" spans="2:11" ht="12" customHeight="1">
      <c r="B41" s="7" t="s">
        <v>100</v>
      </c>
      <c r="C41" s="48"/>
      <c r="D41" s="48"/>
      <c r="E41" s="48"/>
      <c r="G41" s="26">
        <v>0</v>
      </c>
      <c r="H41" s="26">
        <v>0</v>
      </c>
      <c r="I41" s="26">
        <v>0</v>
      </c>
      <c r="J41" s="26">
        <v>0</v>
      </c>
      <c r="K41" s="26">
        <v>0</v>
      </c>
    </row>
    <row r="42" spans="2:11" ht="12" customHeight="1">
      <c r="B42" s="7" t="s">
        <v>101</v>
      </c>
      <c r="C42" s="48"/>
      <c r="D42" s="48"/>
      <c r="E42" s="48"/>
      <c r="G42" s="26">
        <v>0</v>
      </c>
      <c r="H42" s="26">
        <v>0</v>
      </c>
      <c r="I42" s="26">
        <v>0</v>
      </c>
      <c r="J42" s="26">
        <v>0</v>
      </c>
      <c r="K42" s="26">
        <v>0</v>
      </c>
    </row>
    <row r="43" spans="2:11" ht="12" customHeight="1">
      <c r="B43" s="7" t="s">
        <v>102</v>
      </c>
      <c r="C43" s="48"/>
      <c r="D43" s="48"/>
      <c r="E43" s="48"/>
      <c r="G43" s="26">
        <v>0</v>
      </c>
      <c r="H43" s="26">
        <v>0</v>
      </c>
      <c r="I43" s="26">
        <v>0</v>
      </c>
      <c r="J43" s="26">
        <v>0</v>
      </c>
      <c r="K43" s="26">
        <v>0</v>
      </c>
    </row>
    <row r="44" spans="2:11" ht="3.75" customHeight="1">
      <c r="C44" s="13"/>
      <c r="D44" s="13"/>
      <c r="E44" s="13"/>
      <c r="G44" s="26"/>
      <c r="H44" s="26"/>
      <c r="I44" s="26"/>
      <c r="J44" s="26"/>
      <c r="K44" s="26"/>
    </row>
    <row r="45" spans="2:11" ht="12" customHeight="1">
      <c r="B45" s="7" t="s">
        <v>18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37">
        <f t="shared" ref="G45:K45" si="23">G46*G$9</f>
        <v>0</v>
      </c>
      <c r="H45" s="37">
        <f t="shared" si="23"/>
        <v>0</v>
      </c>
      <c r="I45" s="37">
        <f t="shared" si="23"/>
        <v>0</v>
      </c>
      <c r="J45" s="37">
        <f t="shared" si="23"/>
        <v>0</v>
      </c>
      <c r="K45" s="37">
        <f t="shared" si="23"/>
        <v>0</v>
      </c>
    </row>
    <row r="46" spans="2:11" ht="12" customHeight="1">
      <c r="B46" s="7" t="s">
        <v>104</v>
      </c>
      <c r="C46" s="25">
        <f t="shared" ref="C46:E46" si="24">C45/C$9</f>
        <v>-1.7921818479371119E-3</v>
      </c>
      <c r="D46" s="25">
        <f t="shared" si="24"/>
        <v>-4.5822774072463929E-3</v>
      </c>
      <c r="E46" s="25">
        <f t="shared" si="24"/>
        <v>-1.5370069973028228E-3</v>
      </c>
      <c r="G46" s="26">
        <f>CHOOSE($C$5,G47,G48,G49)</f>
        <v>0</v>
      </c>
      <c r="H46" s="26">
        <f t="shared" ref="H46:K46" si="25">CHOOSE($C$5,H47,H48,H49)</f>
        <v>0</v>
      </c>
      <c r="I46" s="26">
        <f t="shared" si="25"/>
        <v>0</v>
      </c>
      <c r="J46" s="26">
        <f t="shared" si="25"/>
        <v>0</v>
      </c>
      <c r="K46" s="26">
        <f t="shared" si="25"/>
        <v>0</v>
      </c>
    </row>
    <row r="47" spans="2:11" ht="12" customHeight="1">
      <c r="B47" s="7" t="s">
        <v>100</v>
      </c>
      <c r="C47" s="48"/>
      <c r="D47" s="48"/>
      <c r="E47" s="48"/>
      <c r="G47" s="26">
        <v>0</v>
      </c>
      <c r="H47" s="26">
        <v>0</v>
      </c>
      <c r="I47" s="26">
        <v>0</v>
      </c>
      <c r="J47" s="26">
        <v>0</v>
      </c>
      <c r="K47" s="26">
        <v>0</v>
      </c>
    </row>
    <row r="48" spans="2:11" ht="12" customHeight="1">
      <c r="B48" s="7" t="s">
        <v>101</v>
      </c>
      <c r="C48" s="48"/>
      <c r="D48" s="48"/>
      <c r="E48" s="48"/>
      <c r="G48" s="26">
        <v>0</v>
      </c>
      <c r="H48" s="26">
        <v>0</v>
      </c>
      <c r="I48" s="26">
        <v>0</v>
      </c>
      <c r="J48" s="26">
        <v>0</v>
      </c>
      <c r="K48" s="26">
        <v>0</v>
      </c>
    </row>
    <row r="49" spans="2:11" ht="12" customHeight="1">
      <c r="B49" s="7" t="s">
        <v>102</v>
      </c>
      <c r="C49" s="48"/>
      <c r="D49" s="48"/>
      <c r="E49" s="48"/>
      <c r="G49" s="26">
        <v>0</v>
      </c>
      <c r="H49" s="26">
        <v>0</v>
      </c>
      <c r="I49" s="26">
        <v>0</v>
      </c>
      <c r="J49" s="26">
        <v>0</v>
      </c>
      <c r="K49" s="26">
        <v>0</v>
      </c>
    </row>
    <row r="50" spans="2:11" ht="3.75" customHeight="1">
      <c r="C50" s="13"/>
      <c r="D50" s="13"/>
      <c r="E50" s="13"/>
      <c r="G50" s="26"/>
      <c r="H50" s="26"/>
      <c r="I50" s="26"/>
      <c r="J50" s="26"/>
      <c r="K50" s="26"/>
    </row>
    <row r="51" spans="2:11">
      <c r="B51" s="7" t="s">
        <v>20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6"/>
      <c r="H51" s="26"/>
      <c r="I51" s="26"/>
      <c r="J51" s="26"/>
      <c r="K51" s="26"/>
    </row>
    <row r="52" spans="2:11">
      <c r="B52" s="7" t="s">
        <v>107</v>
      </c>
      <c r="C52" s="24">
        <f>C51/'P&amp;L source'!D23</f>
        <v>-0.2404816892893126</v>
      </c>
      <c r="D52" s="24">
        <f>D51/'P&amp;L source'!E23</f>
        <v>-0.22579069143565386</v>
      </c>
      <c r="E52" s="24">
        <f>E51/'P&amp;L source'!F23</f>
        <v>-0.18936134430001197</v>
      </c>
      <c r="G52" s="26">
        <f>CHOOSE($C$5,G53,G54,G55)</f>
        <v>-0.2</v>
      </c>
      <c r="H52" s="26">
        <f t="shared" ref="H52:K52" si="26">CHOOSE($C$5,H53,H54,H55)</f>
        <v>-0.2</v>
      </c>
      <c r="I52" s="26">
        <f t="shared" si="26"/>
        <v>-0.2</v>
      </c>
      <c r="J52" s="26">
        <f t="shared" si="26"/>
        <v>-0.2</v>
      </c>
      <c r="K52" s="26">
        <f t="shared" si="26"/>
        <v>-0.2</v>
      </c>
    </row>
    <row r="53" spans="2:11">
      <c r="B53" s="7" t="s">
        <v>100</v>
      </c>
      <c r="C53" s="48"/>
      <c r="D53" s="48"/>
      <c r="E53" s="48"/>
      <c r="G53" s="26">
        <v>-0.18</v>
      </c>
      <c r="H53" s="26">
        <v>-0.18</v>
      </c>
      <c r="I53" s="26">
        <v>-0.18</v>
      </c>
      <c r="J53" s="26">
        <v>-0.18</v>
      </c>
      <c r="K53" s="26">
        <v>-0.18</v>
      </c>
    </row>
    <row r="54" spans="2:11">
      <c r="B54" s="7" t="s">
        <v>101</v>
      </c>
      <c r="C54" s="48"/>
      <c r="D54" s="48"/>
      <c r="E54" s="48"/>
      <c r="G54" s="26">
        <v>-0.2</v>
      </c>
      <c r="H54" s="26">
        <v>-0.2</v>
      </c>
      <c r="I54" s="26">
        <v>-0.2</v>
      </c>
      <c r="J54" s="26">
        <v>-0.2</v>
      </c>
      <c r="K54" s="26">
        <v>-0.2</v>
      </c>
    </row>
    <row r="55" spans="2:11">
      <c r="B55" s="7" t="s">
        <v>102</v>
      </c>
      <c r="C55" s="48"/>
      <c r="D55" s="48"/>
      <c r="E55" s="48"/>
      <c r="G55" s="26">
        <v>-0.22</v>
      </c>
      <c r="H55" s="26">
        <v>-0.22</v>
      </c>
      <c r="I55" s="26">
        <v>-0.22</v>
      </c>
      <c r="J55" s="26">
        <v>-0.22</v>
      </c>
      <c r="K55" s="26">
        <v>-0.22</v>
      </c>
    </row>
    <row r="57" spans="2:11">
      <c r="G57" s="36"/>
      <c r="H57" s="36"/>
      <c r="I57" s="36"/>
      <c r="J57" s="36"/>
      <c r="K57" s="36"/>
    </row>
    <row r="58" spans="2:11">
      <c r="G58" s="24"/>
      <c r="H58" s="24"/>
      <c r="I58" s="24"/>
      <c r="J58" s="24"/>
      <c r="K58" s="24"/>
    </row>
    <row r="59" spans="2:11">
      <c r="G59" s="24"/>
      <c r="H59" s="24"/>
      <c r="I59" s="24"/>
      <c r="J59" s="24"/>
      <c r="K59" s="24"/>
    </row>
    <row r="60" spans="2:11">
      <c r="G60" s="24"/>
      <c r="H60" s="24"/>
      <c r="I60" s="24"/>
      <c r="J60" s="24"/>
      <c r="K60" s="24"/>
    </row>
    <row r="61" spans="2:11">
      <c r="G61" s="24"/>
      <c r="H61" s="24"/>
      <c r="I61" s="24"/>
      <c r="J61" s="24"/>
      <c r="K61" s="2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E29" sqref="E29"/>
    </sheetView>
  </sheetViews>
  <sheetFormatPr defaultColWidth="9.109375" defaultRowHeight="11.4"/>
  <cols>
    <col min="1" max="1" width="2" style="7" customWidth="1"/>
    <col min="2" max="2" width="17.33203125" style="7" customWidth="1"/>
    <col min="3" max="4" width="9.109375" style="7"/>
    <col min="5" max="5" width="10" style="7" bestFit="1" customWidth="1"/>
    <col min="6" max="6" width="2" style="7" customWidth="1"/>
    <col min="7" max="7" width="11" style="7" bestFit="1" customWidth="1"/>
    <col min="8" max="16384" width="9.109375" style="7"/>
  </cols>
  <sheetData>
    <row r="1" spans="2:11" ht="15.6">
      <c r="B1" s="6" t="s">
        <v>24</v>
      </c>
    </row>
    <row r="3" spans="2:11" ht="3.75" customHeight="1"/>
    <row r="4" spans="2:11" ht="24.6" thickBot="1">
      <c r="B4" s="17" t="s">
        <v>47</v>
      </c>
      <c r="C4" s="18" t="s">
        <v>75</v>
      </c>
      <c r="D4" s="18" t="s">
        <v>76</v>
      </c>
      <c r="E4" s="18" t="s">
        <v>77</v>
      </c>
      <c r="F4" s="21"/>
      <c r="G4" s="19" t="s">
        <v>78</v>
      </c>
      <c r="H4" s="19" t="s">
        <v>79</v>
      </c>
      <c r="I4" s="19" t="s">
        <v>80</v>
      </c>
      <c r="J4" s="19" t="s">
        <v>81</v>
      </c>
      <c r="K4" s="19" t="s">
        <v>82</v>
      </c>
    </row>
    <row r="5" spans="2:11">
      <c r="B5" s="7" t="s">
        <v>108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7">
        <f>G6*'P&amp;L assumptions'!G9/360</f>
        <v>47068.128000000004</v>
      </c>
      <c r="H5" s="27">
        <f>H6*'P&amp;L assumptions'!H9/360</f>
        <v>50833.578240000003</v>
      </c>
      <c r="I5" s="27">
        <f>I6*'P&amp;L assumptions'!I9/360</f>
        <v>54900.264499199999</v>
      </c>
      <c r="J5" s="27">
        <f>J6*'P&amp;L assumptions'!J9/360</f>
        <v>59292.285659136011</v>
      </c>
      <c r="K5" s="27">
        <f>K6*'P&amp;L assumptions'!K9/360</f>
        <v>64035.66851186689</v>
      </c>
    </row>
    <row r="6" spans="2:11">
      <c r="B6" s="16" t="s">
        <v>109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39">
        <f>$E$6</f>
        <v>75.297198199322338</v>
      </c>
      <c r="H6" s="39">
        <f t="shared" ref="H6:K6" si="0">$E$6</f>
        <v>75.297198199322338</v>
      </c>
      <c r="I6" s="39">
        <f t="shared" si="0"/>
        <v>75.297198199322338</v>
      </c>
      <c r="J6" s="39">
        <f t="shared" si="0"/>
        <v>75.297198199322338</v>
      </c>
      <c r="K6" s="39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29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7">
        <f>-G9*'P&amp;L assumptions'!G$21/360</f>
        <v>51493.887128335395</v>
      </c>
      <c r="H8" s="27">
        <f>-H9*'P&amp;L assumptions'!H$21/360</f>
        <v>55613.398098602222</v>
      </c>
      <c r="I8" s="27">
        <f>-I9*'P&amp;L assumptions'!I$21/360</f>
        <v>60062.469946490404</v>
      </c>
      <c r="J8" s="27">
        <f>-J9*'P&amp;L assumptions'!J$21/360</f>
        <v>64867.467542209641</v>
      </c>
      <c r="K8" s="27">
        <f>-K9*'P&amp;L assumptions'!K$21/360</f>
        <v>70056.864945586407</v>
      </c>
    </row>
    <row r="9" spans="2:11">
      <c r="B9" s="16" t="s">
        <v>110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39">
        <f>$E$9</f>
        <v>105.61192646702818</v>
      </c>
      <c r="H9" s="39">
        <f t="shared" ref="H9:K9" si="1">$E$9</f>
        <v>105.61192646702818</v>
      </c>
      <c r="I9" s="39">
        <f t="shared" si="1"/>
        <v>105.61192646702818</v>
      </c>
      <c r="J9" s="39">
        <f t="shared" si="1"/>
        <v>105.61192646702818</v>
      </c>
      <c r="K9" s="39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38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7">
        <f>-G12*'P&amp;L assumptions'!G$21/360</f>
        <v>40325.958141166935</v>
      </c>
      <c r="H11" s="27">
        <f>-H12*'P&amp;L assumptions'!H$21/360</f>
        <v>43552.034792460297</v>
      </c>
      <c r="I11" s="27">
        <f>-I12*'P&amp;L assumptions'!I$21/360</f>
        <v>47036.197575857121</v>
      </c>
      <c r="J11" s="27">
        <f>-J12*'P&amp;L assumptions'!J$21/360</f>
        <v>50799.09338192569</v>
      </c>
      <c r="K11" s="27">
        <f>-K12*'P&amp;L assumptions'!K$21/360</f>
        <v>54863.020852479742</v>
      </c>
    </row>
    <row r="12" spans="2:11">
      <c r="B12" s="16" t="s">
        <v>111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39">
        <f>$E$12</f>
        <v>82.706945686643365</v>
      </c>
      <c r="H12" s="39">
        <f t="shared" ref="H12:K12" si="2">$E$12</f>
        <v>82.706945686643365</v>
      </c>
      <c r="I12" s="39">
        <f t="shared" si="2"/>
        <v>82.706945686643365</v>
      </c>
      <c r="J12" s="39">
        <f t="shared" si="2"/>
        <v>82.706945686643365</v>
      </c>
      <c r="K12" s="39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37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7">
        <f>G15*'P&amp;L assumptions'!G$9</f>
        <v>58808.963882665172</v>
      </c>
      <c r="H14" s="27">
        <f>H15*'P&amp;L assumptions'!H$9</f>
        <v>63513.680993278387</v>
      </c>
      <c r="I14" s="27">
        <f>I15*'P&amp;L assumptions'!I$9</f>
        <v>68594.775472740657</v>
      </c>
      <c r="J14" s="27">
        <f>J15*'P&amp;L assumptions'!J$9</f>
        <v>74082.35751055993</v>
      </c>
      <c r="K14" s="27">
        <f>K15*'P&amp;L assumptions'!K$9</f>
        <v>80008.946111404715</v>
      </c>
    </row>
    <row r="15" spans="2:11">
      <c r="B15" s="16" t="s">
        <v>112</v>
      </c>
      <c r="C15" s="38">
        <f>C14/'P&amp;L assumptions'!C$9</f>
        <v>0.25454648059005774</v>
      </c>
      <c r="D15" s="38">
        <f>D14/'P&amp;L assumptions'!D$9</f>
        <v>0.26016817058817293</v>
      </c>
      <c r="E15" s="38">
        <f>E14/'P&amp;L assumptions'!E$9</f>
        <v>0.26928193659234229</v>
      </c>
      <c r="G15" s="26">
        <f>AVERAGE($C15:$E15)</f>
        <v>0.26133219592352436</v>
      </c>
      <c r="H15" s="26">
        <f t="shared" ref="H15:K15" si="3">AVERAGE($C15:$E15)</f>
        <v>0.26133219592352436</v>
      </c>
      <c r="I15" s="26">
        <f t="shared" si="3"/>
        <v>0.26133219592352436</v>
      </c>
      <c r="J15" s="26">
        <f t="shared" si="3"/>
        <v>0.26133219592352436</v>
      </c>
      <c r="K15" s="26">
        <f t="shared" si="3"/>
        <v>0.26133219592352436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7" t="s">
        <v>28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7">
        <f>G18*'P&amp;L assumptions'!G$9</f>
        <v>14597.199966442211</v>
      </c>
      <c r="H17" s="27">
        <f>H18*'P&amp;L assumptions'!H$9</f>
        <v>15764.975963757588</v>
      </c>
      <c r="I17" s="27">
        <f>I18*'P&amp;L assumptions'!I$9</f>
        <v>17026.174040858194</v>
      </c>
      <c r="J17" s="27">
        <f>J18*'P&amp;L assumptions'!J$9</f>
        <v>18388.267964126855</v>
      </c>
      <c r="K17" s="27">
        <f>K18*'P&amp;L assumptions'!K$9</f>
        <v>19859.329401257</v>
      </c>
    </row>
    <row r="18" spans="2:11">
      <c r="B18" s="16" t="s">
        <v>112</v>
      </c>
      <c r="C18" s="38">
        <f>C17/'P&amp;L assumptions'!C$9</f>
        <v>4.9895317799360059E-2</v>
      </c>
      <c r="D18" s="38">
        <f>D17/'P&amp;L assumptions'!D$9</f>
        <v>6.0223308485934532E-2</v>
      </c>
      <c r="E18" s="38">
        <f>E17/'P&amp;L assumptions'!E$9</f>
        <v>8.4480193505658316E-2</v>
      </c>
      <c r="G18" s="26">
        <f t="shared" ref="G18:K18" si="4">AVERAGE($C18:$E18)</f>
        <v>6.4866273263650964E-2</v>
      </c>
      <c r="H18" s="26">
        <f t="shared" si="4"/>
        <v>6.4866273263650964E-2</v>
      </c>
      <c r="I18" s="26">
        <f t="shared" si="4"/>
        <v>6.4866273263650964E-2</v>
      </c>
      <c r="J18" s="26">
        <f t="shared" si="4"/>
        <v>6.4866273263650964E-2</v>
      </c>
      <c r="K18" s="26">
        <f t="shared" si="4"/>
        <v>6.4866273263650964E-2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7" t="s">
        <v>39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7">
        <f>G21*'P&amp;L assumptions'!G$9</f>
        <v>7883.9448649531369</v>
      </c>
      <c r="H20" s="27">
        <f>H21*'P&amp;L assumptions'!H$9</f>
        <v>8514.6604541493871</v>
      </c>
      <c r="I20" s="27">
        <f>I21*'P&amp;L assumptions'!I$9</f>
        <v>9195.8332904813396</v>
      </c>
      <c r="J20" s="27">
        <f>J21*'P&amp;L assumptions'!J$9</f>
        <v>9931.4999537198473</v>
      </c>
      <c r="K20" s="27">
        <f>K21*'P&amp;L assumptions'!K$9</f>
        <v>10726.019950017435</v>
      </c>
    </row>
    <row r="21" spans="2:11">
      <c r="B21" s="16" t="s">
        <v>112</v>
      </c>
      <c r="C21" s="38">
        <f>C20/'P&amp;L assumptions'!C$9</f>
        <v>3.368474950574589E-2</v>
      </c>
      <c r="D21" s="38">
        <f>D20/'P&amp;L assumptions'!D$9</f>
        <v>3.0751868856630889E-2</v>
      </c>
      <c r="E21" s="38">
        <f>E20/'P&amp;L assumptions'!E$9</f>
        <v>4.0666166387016318E-2</v>
      </c>
      <c r="G21" s="26">
        <f t="shared" ref="G21:K21" si="5">AVERAGE($C21:$E21)</f>
        <v>3.5034261583131034E-2</v>
      </c>
      <c r="H21" s="26">
        <f t="shared" si="5"/>
        <v>3.5034261583131034E-2</v>
      </c>
      <c r="I21" s="26">
        <f t="shared" si="5"/>
        <v>3.5034261583131034E-2</v>
      </c>
      <c r="J21" s="26">
        <f t="shared" si="5"/>
        <v>3.5034261583131034E-2</v>
      </c>
      <c r="K21" s="26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zoomScale="130" zoomScaleNormal="130" workbookViewId="0">
      <selection activeCell="D15" sqref="D15"/>
    </sheetView>
  </sheetViews>
  <sheetFormatPr defaultColWidth="9.109375" defaultRowHeight="11.4"/>
  <cols>
    <col min="1" max="1" width="2" style="7" customWidth="1"/>
    <col min="2" max="2" width="18.33203125" style="7" bestFit="1" customWidth="1"/>
    <col min="3" max="3" width="10.5546875" style="7" bestFit="1" customWidth="1"/>
    <col min="4" max="5" width="9.109375" style="7"/>
    <col min="6" max="6" width="2" style="7" customWidth="1"/>
    <col min="7" max="7" width="10.5546875" style="7" bestFit="1" customWidth="1"/>
    <col min="8" max="11" width="9.109375" style="7"/>
    <col min="12" max="12" width="2" style="7" customWidth="1"/>
    <col min="13" max="16384" width="9.109375" style="7"/>
  </cols>
  <sheetData>
    <row r="1" spans="2:13" ht="15.6">
      <c r="B1" s="6" t="s">
        <v>6</v>
      </c>
    </row>
    <row r="3" spans="2:13" ht="24.6" thickBot="1">
      <c r="B3" s="17" t="s">
        <v>47</v>
      </c>
      <c r="C3" s="18" t="s">
        <v>67</v>
      </c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M3" s="22" t="s">
        <v>52</v>
      </c>
    </row>
    <row r="4" spans="2:13">
      <c r="B4" s="7" t="s">
        <v>66</v>
      </c>
      <c r="C4" s="13">
        <f>SUMIF('P&amp;L assumptions'!$B:$B,'P&amp;L'!$B4,'P&amp;L assumptions'!C:C)</f>
        <v>177203</v>
      </c>
      <c r="D4" s="13">
        <f>SUMIF('P&amp;L assumptions'!$B:$B,'P&amp;L'!$B4,'P&amp;L assumptions'!D:D)</f>
        <v>188618</v>
      </c>
      <c r="E4" s="13">
        <f>SUMIF('P&amp;L assumptions'!$B:$B,'P&amp;L'!$B4,'P&amp;L assumptions'!E:E)</f>
        <v>208366</v>
      </c>
      <c r="G4" s="27">
        <f>SUMIF('P&amp;L assumptions'!$B:$B,'P&amp;L'!$B4,'P&amp;L assumptions'!G:G)</f>
        <v>225035.28000000003</v>
      </c>
      <c r="H4" s="27">
        <f>SUMIF('P&amp;L assumptions'!$B:$B,'P&amp;L'!$B4,'P&amp;L assumptions'!H:H)</f>
        <v>243038.10240000003</v>
      </c>
      <c r="I4" s="27">
        <f>SUMIF('P&amp;L assumptions'!$B:$B,'P&amp;L'!$B4,'P&amp;L assumptions'!I:I)</f>
        <v>262481.15059200005</v>
      </c>
      <c r="J4" s="27">
        <f>SUMIF('P&amp;L assumptions'!$B:$B,'P&amp;L'!$B4,'P&amp;L assumptions'!J:J)</f>
        <v>283479.6426393601</v>
      </c>
      <c r="K4" s="27">
        <f>SUMIF('P&amp;L assumptions'!$B:$B,'P&amp;L'!$B4,'P&amp;L assumptions'!K:K)</f>
        <v>306158.01405050891</v>
      </c>
    </row>
    <row r="5" spans="2:13">
      <c r="B5" s="7" t="s">
        <v>98</v>
      </c>
      <c r="C5" s="13">
        <f>SUMIF('P&amp;L assumptions'!$B:$B,'P&amp;L'!$B5,'P&amp;L assumptions'!C:C)</f>
        <v>3520</v>
      </c>
      <c r="D5" s="13">
        <f>SUMIF('P&amp;L assumptions'!$B:$B,'P&amp;L'!$B5,'P&amp;L assumptions'!D:D)</f>
        <v>2416</v>
      </c>
      <c r="E5" s="13">
        <f>SUMIF('P&amp;L assumptions'!$B:$B,'P&amp;L'!$B5,'P&amp;L assumptions'!E:E)</f>
        <v>2585</v>
      </c>
      <c r="G5" s="27">
        <f>SUMIF('P&amp;L assumptions'!$B:$B,'P&amp;L'!$B5,'P&amp;L assumptions'!G:G)</f>
        <v>2585</v>
      </c>
      <c r="H5" s="27">
        <f>SUMIF('P&amp;L assumptions'!$B:$B,'P&amp;L'!$B5,'P&amp;L assumptions'!H:H)</f>
        <v>2585</v>
      </c>
      <c r="I5" s="27">
        <f>SUMIF('P&amp;L assumptions'!$B:$B,'P&amp;L'!$B5,'P&amp;L assumptions'!I:I)</f>
        <v>2585</v>
      </c>
      <c r="J5" s="27">
        <f>SUMIF('P&amp;L assumptions'!$B:$B,'P&amp;L'!$B5,'P&amp;L assumptions'!J:J)</f>
        <v>2585</v>
      </c>
      <c r="K5" s="27">
        <f>SUMIF('P&amp;L assumptions'!$B:$B,'P&amp;L'!$B5,'P&amp;L assumptions'!K:K)</f>
        <v>2585</v>
      </c>
    </row>
    <row r="6" spans="2:13" ht="12">
      <c r="B6" s="50" t="s">
        <v>116</v>
      </c>
      <c r="C6" s="51">
        <f>C4+C5</f>
        <v>180723</v>
      </c>
      <c r="D6" s="51">
        <f t="shared" ref="D6:K6" si="0">D4+D5</f>
        <v>191034</v>
      </c>
      <c r="E6" s="51">
        <f t="shared" si="0"/>
        <v>210951</v>
      </c>
      <c r="F6" s="52">
        <f t="shared" si="0"/>
        <v>0</v>
      </c>
      <c r="G6" s="53">
        <f t="shared" si="0"/>
        <v>227620.28000000003</v>
      </c>
      <c r="H6" s="53">
        <f t="shared" si="0"/>
        <v>245623.10240000003</v>
      </c>
      <c r="I6" s="53">
        <f t="shared" si="0"/>
        <v>265066.15059200005</v>
      </c>
      <c r="J6" s="53">
        <f t="shared" si="0"/>
        <v>286064.6426393601</v>
      </c>
      <c r="K6" s="53">
        <f t="shared" si="0"/>
        <v>308743.01405050891</v>
      </c>
    </row>
    <row r="7" spans="2:13" ht="3.75" customHeight="1">
      <c r="B7" s="23"/>
      <c r="C7" s="34"/>
      <c r="D7" s="34"/>
      <c r="E7" s="34"/>
      <c r="F7" s="56"/>
      <c r="G7" s="27"/>
      <c r="H7" s="27"/>
      <c r="I7" s="27"/>
      <c r="J7" s="27"/>
      <c r="K7" s="27"/>
    </row>
    <row r="8" spans="2:13">
      <c r="B8" s="7" t="s">
        <v>103</v>
      </c>
      <c r="C8" s="13">
        <f>SUMIF('P&amp;L assumptions'!$B:$B,'P&amp;L'!$B8,'P&amp;L assumptions'!C:C)</f>
        <v>-142394.36746666671</v>
      </c>
      <c r="D8" s="13">
        <f>SUMIF('P&amp;L assumptions'!$B:$B,'P&amp;L'!$B8,'P&amp;L assumptions'!D:D)</f>
        <v>-150572.16639999999</v>
      </c>
      <c r="E8" s="13">
        <f>SUMIF('P&amp;L assumptions'!$B:$B,'P&amp;L'!$B8,'P&amp;L assumptions'!E:E)</f>
        <v>-157523.118425397</v>
      </c>
      <c r="G8" s="27">
        <f>SUMIF('P&amp;L assumptions'!$B:$B,'P&amp;L'!$B8,'P&amp;L assumptions'!G:G)</f>
        <v>-175527.51840000003</v>
      </c>
      <c r="H8" s="27">
        <f>SUMIF('P&amp;L assumptions'!$B:$B,'P&amp;L'!$B8,'P&amp;L assumptions'!H:H)</f>
        <v>-189569.71987200005</v>
      </c>
      <c r="I8" s="27">
        <f>SUMIF('P&amp;L assumptions'!$B:$B,'P&amp;L'!$B8,'P&amp;L assumptions'!I:I)</f>
        <v>-204735.29746176006</v>
      </c>
      <c r="J8" s="27">
        <f>SUMIF('P&amp;L assumptions'!$B:$B,'P&amp;L'!$B8,'P&amp;L assumptions'!J:J)</f>
        <v>-221114.12125870088</v>
      </c>
      <c r="K8" s="27">
        <f>SUMIF('P&amp;L assumptions'!$B:$B,'P&amp;L'!$B8,'P&amp;L assumptions'!K:K)</f>
        <v>-238803.25095939694</v>
      </c>
    </row>
    <row r="9" spans="2:13" ht="12">
      <c r="B9" s="50" t="s">
        <v>114</v>
      </c>
      <c r="C9" s="51">
        <f>C6+C8</f>
        <v>38328.632533333293</v>
      </c>
      <c r="D9" s="51">
        <f t="shared" ref="D9:K9" si="1">D6+D8</f>
        <v>40461.833600000013</v>
      </c>
      <c r="E9" s="51">
        <f t="shared" si="1"/>
        <v>53427.881574603001</v>
      </c>
      <c r="F9" s="52">
        <f t="shared" si="1"/>
        <v>0</v>
      </c>
      <c r="G9" s="53">
        <f t="shared" si="1"/>
        <v>52092.761599999998</v>
      </c>
      <c r="H9" s="53">
        <f t="shared" si="1"/>
        <v>56053.382527999987</v>
      </c>
      <c r="I9" s="53">
        <f t="shared" si="1"/>
        <v>60330.853130239993</v>
      </c>
      <c r="J9" s="53">
        <f t="shared" si="1"/>
        <v>64950.521380659222</v>
      </c>
      <c r="K9" s="53">
        <f t="shared" si="1"/>
        <v>69939.763091111963</v>
      </c>
    </row>
    <row r="10" spans="2:13" ht="3.75" customHeight="1">
      <c r="G10" s="27"/>
      <c r="H10" s="27"/>
      <c r="I10" s="27"/>
      <c r="J10" s="27"/>
      <c r="K10" s="27"/>
    </row>
    <row r="11" spans="2:13">
      <c r="B11" s="7" t="s">
        <v>105</v>
      </c>
      <c r="C11" s="13">
        <f>SUMIF('P&amp;L assumptions'!$B:$B,'P&amp;L'!$B11,'P&amp;L assumptions'!C:C)</f>
        <v>-18011.315200000005</v>
      </c>
      <c r="D11" s="13">
        <f>SUMIF('P&amp;L assumptions'!$B:$B,'P&amp;L'!$B11,'P&amp;L assumptions'!D:D)</f>
        <v>-19247.897599999997</v>
      </c>
      <c r="E11" s="13">
        <f>SUMIF('P&amp;L assumptions'!$B:$B,'P&amp;L'!$B11,'P&amp;L assumptions'!E:E)</f>
        <v>-23867.008000000009</v>
      </c>
      <c r="F11" s="13"/>
      <c r="G11" s="27">
        <f>SUMIF('P&amp;L assumptions'!$B:$B,'P&amp;L'!$B11,'P&amp;L assumptions'!G:G)</f>
        <v>-23628.704400000002</v>
      </c>
      <c r="H11" s="27">
        <f>SUMIF('P&amp;L assumptions'!$B:$B,'P&amp;L'!$B11,'P&amp;L assumptions'!H:H)</f>
        <v>-25519.000752000004</v>
      </c>
      <c r="I11" s="27">
        <f>SUMIF('P&amp;L assumptions'!$B:$B,'P&amp;L'!$B11,'P&amp;L assumptions'!I:I)</f>
        <v>-27560.520812160004</v>
      </c>
      <c r="J11" s="27">
        <f>SUMIF('P&amp;L assumptions'!$B:$B,'P&amp;L'!$B11,'P&amp;L assumptions'!J:J)</f>
        <v>-29765.36247713281</v>
      </c>
      <c r="K11" s="27">
        <f>SUMIF('P&amp;L assumptions'!$B:$B,'P&amp;L'!$B11,'P&amp;L assumptions'!K:K)</f>
        <v>-32146.591475303434</v>
      </c>
    </row>
    <row r="12" spans="2:13" ht="12">
      <c r="B12" s="50" t="s">
        <v>14</v>
      </c>
      <c r="C12" s="51">
        <f>C9+C11</f>
        <v>20317.317333333289</v>
      </c>
      <c r="D12" s="51">
        <f t="shared" ref="D12:K12" si="2">D9+D11</f>
        <v>21213.936000000016</v>
      </c>
      <c r="E12" s="51">
        <f t="shared" si="2"/>
        <v>29560.873574602992</v>
      </c>
      <c r="F12" s="52">
        <f t="shared" si="2"/>
        <v>0</v>
      </c>
      <c r="G12" s="53">
        <f t="shared" si="2"/>
        <v>28464.057199999996</v>
      </c>
      <c r="H12" s="53">
        <f t="shared" si="2"/>
        <v>30534.381775999984</v>
      </c>
      <c r="I12" s="53">
        <f t="shared" si="2"/>
        <v>32770.332318079993</v>
      </c>
      <c r="J12" s="53">
        <f t="shared" si="2"/>
        <v>35185.158903526411</v>
      </c>
      <c r="K12" s="53">
        <f t="shared" si="2"/>
        <v>37793.171615808533</v>
      </c>
    </row>
    <row r="13" spans="2:13" ht="3.75" customHeight="1">
      <c r="C13" s="13"/>
      <c r="D13" s="13"/>
      <c r="E13" s="13"/>
      <c r="F13" s="13"/>
      <c r="G13" s="27"/>
      <c r="H13" s="27"/>
      <c r="I13" s="27"/>
      <c r="J13" s="27"/>
      <c r="K13" s="27"/>
    </row>
    <row r="14" spans="2:13">
      <c r="B14" s="7" t="s">
        <v>15</v>
      </c>
      <c r="C14" s="13">
        <f>SUMIF('P&amp;L assumptions'!$B:$B,'P&amp;L'!$B14,'P&amp;L assumptions'!C:C)</f>
        <v>-2907.8000000000006</v>
      </c>
      <c r="D14" s="13">
        <f>SUMIF('P&amp;L assumptions'!$B:$B,'P&amp;L'!$B14,'P&amp;L assumptions'!D:D)</f>
        <v>-4649.8</v>
      </c>
      <c r="E14" s="13">
        <f>SUMIF('P&amp;L assumptions'!$B:$B,'P&amp;L'!$B14,'P&amp;L assumptions'!E:E)</f>
        <v>-6430.6600000000008</v>
      </c>
      <c r="F14" s="13"/>
      <c r="G14" s="27">
        <f>SUMIF('P&amp;L assumptions'!$B:$B,'P&amp;L'!$B14,'P&amp;L assumptions'!G:G)</f>
        <v>-5625.8820000000014</v>
      </c>
      <c r="H14" s="27">
        <f>SUMIF('P&amp;L assumptions'!$B:$B,'P&amp;L'!$B14,'P&amp;L assumptions'!H:H)</f>
        <v>-6075.9525600000015</v>
      </c>
      <c r="I14" s="27">
        <f>SUMIF('P&amp;L assumptions'!$B:$B,'P&amp;L'!$B14,'P&amp;L assumptions'!I:I)</f>
        <v>-6562.0287648000012</v>
      </c>
      <c r="J14" s="27">
        <f>SUMIF('P&amp;L assumptions'!$B:$B,'P&amp;L'!$B14,'P&amp;L assumptions'!J:J)</f>
        <v>-7086.9910659840025</v>
      </c>
      <c r="K14" s="27">
        <f>SUMIF('P&amp;L assumptions'!$B:$B,'P&amp;L'!$B14,'P&amp;L assumptions'!K:K)</f>
        <v>-7653.9503512627234</v>
      </c>
    </row>
    <row r="15" spans="2:13" ht="12">
      <c r="B15" s="50" t="s">
        <v>16</v>
      </c>
      <c r="C15" s="51">
        <f>C12+C14</f>
        <v>17409.51733333329</v>
      </c>
      <c r="D15" s="51">
        <f t="shared" ref="D15:K15" si="3">D12+D14</f>
        <v>16564.136000000017</v>
      </c>
      <c r="E15" s="51">
        <f t="shared" si="3"/>
        <v>23130.213574602993</v>
      </c>
      <c r="F15" s="52">
        <f t="shared" si="3"/>
        <v>0</v>
      </c>
      <c r="G15" s="53">
        <f t="shared" si="3"/>
        <v>22838.175199999994</v>
      </c>
      <c r="H15" s="53">
        <f t="shared" si="3"/>
        <v>24458.429215999982</v>
      </c>
      <c r="I15" s="53">
        <f t="shared" si="3"/>
        <v>26208.303553279991</v>
      </c>
      <c r="J15" s="53">
        <f t="shared" si="3"/>
        <v>28098.167837542409</v>
      </c>
      <c r="K15" s="53">
        <f t="shared" si="3"/>
        <v>30139.221264545809</v>
      </c>
    </row>
    <row r="16" spans="2:13" ht="3.75" customHeight="1">
      <c r="B16" s="23"/>
      <c r="C16" s="29"/>
      <c r="D16" s="29"/>
      <c r="E16" s="29"/>
      <c r="F16" s="29"/>
      <c r="G16" s="27"/>
      <c r="H16" s="27"/>
      <c r="I16" s="27"/>
      <c r="J16" s="27"/>
      <c r="K16" s="27"/>
    </row>
    <row r="17" spans="2:11" ht="12" customHeight="1">
      <c r="B17" s="7" t="s">
        <v>106</v>
      </c>
      <c r="C17" s="13">
        <f>SUMIF('P&amp;L assumptions'!$B:$B,'P&amp;L'!$B17,'P&amp;L assumptions'!C:C)</f>
        <v>-1266.3000000000002</v>
      </c>
      <c r="D17" s="13">
        <f>SUMIF('P&amp;L assumptions'!$B:$B,'P&amp;L'!$B17,'P&amp;L assumptions'!D:D)</f>
        <v>-2190.9</v>
      </c>
      <c r="E17" s="13">
        <f>SUMIF('P&amp;L assumptions'!$B:$B,'P&amp;L'!$B17,'P&amp;L assumptions'!E:E)</f>
        <v>-2663.92</v>
      </c>
      <c r="F17" s="13"/>
      <c r="G17" s="27">
        <f>SUMIF('P&amp;L assumptions'!$B:$B,'P&amp;L'!$B17,'P&amp;L assumptions'!G:G)</f>
        <v>-2663.92</v>
      </c>
      <c r="H17" s="27">
        <f>SUMIF('P&amp;L assumptions'!$B:$B,'P&amp;L'!$B17,'P&amp;L assumptions'!H:H)</f>
        <v>-2663.92</v>
      </c>
      <c r="I17" s="27">
        <f>SUMIF('P&amp;L assumptions'!$B:$B,'P&amp;L'!$B17,'P&amp;L assumptions'!I:I)</f>
        <v>-2663.92</v>
      </c>
      <c r="J17" s="27">
        <f>SUMIF('P&amp;L assumptions'!$B:$B,'P&amp;L'!$B17,'P&amp;L assumptions'!J:J)</f>
        <v>-2663.92</v>
      </c>
      <c r="K17" s="27">
        <f>SUMIF('P&amp;L assumptions'!$B:$B,'P&amp;L'!$B17,'P&amp;L assumptions'!K:K)</f>
        <v>-2663.92</v>
      </c>
    </row>
    <row r="18" spans="2:11" ht="12" customHeight="1">
      <c r="B18" s="7" t="s">
        <v>18</v>
      </c>
      <c r="C18" s="13">
        <f>SUMIF('P&amp;L assumptions'!$B:$B,'P&amp;L'!$B18,'P&amp;L assumptions'!C:C)</f>
        <v>-317.58000000000004</v>
      </c>
      <c r="D18" s="13">
        <f>SUMIF('P&amp;L assumptions'!$B:$B,'P&amp;L'!$B18,'P&amp;L assumptions'!D:D)</f>
        <v>-864.30000000000007</v>
      </c>
      <c r="E18" s="13">
        <f>SUMIF('P&amp;L assumptions'!$B:$B,'P&amp;L'!$B18,'P&amp;L assumptions'!E:E)</f>
        <v>-320.26</v>
      </c>
      <c r="F18" s="13"/>
      <c r="G18" s="27">
        <f>SUMIF('P&amp;L assumptions'!$B:$B,'P&amp;L'!$B18,'P&amp;L assumptions'!G:G)</f>
        <v>0</v>
      </c>
      <c r="H18" s="27">
        <f>SUMIF('P&amp;L assumptions'!$B:$B,'P&amp;L'!$B18,'P&amp;L assumptions'!H:H)</f>
        <v>0</v>
      </c>
      <c r="I18" s="27">
        <f>SUMIF('P&amp;L assumptions'!$B:$B,'P&amp;L'!$B18,'P&amp;L assumptions'!I:I)</f>
        <v>0</v>
      </c>
      <c r="J18" s="27">
        <f>SUMIF('P&amp;L assumptions'!$B:$B,'P&amp;L'!$B18,'P&amp;L assumptions'!J:J)</f>
        <v>0</v>
      </c>
      <c r="K18" s="27">
        <f>SUMIF('P&amp;L assumptions'!$B:$B,'P&amp;L'!$B18,'P&amp;L assumptions'!K:K)</f>
        <v>0</v>
      </c>
    </row>
    <row r="19" spans="2:11" ht="12">
      <c r="B19" s="50" t="s">
        <v>19</v>
      </c>
      <c r="C19" s="51">
        <f>C15+C17+C18</f>
        <v>15825.63733333329</v>
      </c>
      <c r="D19" s="51">
        <f t="shared" ref="D19:K19" si="4">D15+D17+D18</f>
        <v>13508.936000000018</v>
      </c>
      <c r="E19" s="51">
        <f t="shared" si="4"/>
        <v>20146.033574602992</v>
      </c>
      <c r="F19" s="52">
        <f t="shared" si="4"/>
        <v>0</v>
      </c>
      <c r="G19" s="53">
        <f t="shared" si="4"/>
        <v>20174.255199999992</v>
      </c>
      <c r="H19" s="53">
        <f t="shared" si="4"/>
        <v>21794.509215999984</v>
      </c>
      <c r="I19" s="53">
        <f t="shared" si="4"/>
        <v>23544.383553279993</v>
      </c>
      <c r="J19" s="53">
        <f t="shared" si="4"/>
        <v>25434.247837542411</v>
      </c>
      <c r="K19" s="53">
        <f t="shared" si="4"/>
        <v>27475.301264545807</v>
      </c>
    </row>
    <row r="20" spans="2:11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1">
      <c r="B21" s="7" t="s">
        <v>113</v>
      </c>
      <c r="C21" s="24">
        <f>C22/C19</f>
        <v>-0.24048168928931246</v>
      </c>
      <c r="D21" s="24">
        <f t="shared" ref="D21:E21" si="5">D22/D19</f>
        <v>-0.22579069143565386</v>
      </c>
      <c r="E21" s="24">
        <f t="shared" si="5"/>
        <v>-0.18936134430001206</v>
      </c>
      <c r="F21" s="13"/>
      <c r="G21" s="26">
        <f>'P&amp;L assumptions'!G52</f>
        <v>-0.2</v>
      </c>
      <c r="H21" s="26">
        <f>'P&amp;L assumptions'!H52</f>
        <v>-0.2</v>
      </c>
      <c r="I21" s="26">
        <f>'P&amp;L assumptions'!I52</f>
        <v>-0.2</v>
      </c>
      <c r="J21" s="26">
        <f>'P&amp;L assumptions'!J52</f>
        <v>-0.2</v>
      </c>
      <c r="K21" s="26">
        <f>'P&amp;L assumptions'!K52</f>
        <v>-0.2</v>
      </c>
    </row>
    <row r="22" spans="2:11">
      <c r="B22" s="7" t="s">
        <v>20</v>
      </c>
      <c r="C22" s="13">
        <f>'P&amp;L assumptions'!C51</f>
        <v>-3805.7759999999998</v>
      </c>
      <c r="D22" s="13">
        <f>'P&amp;L assumptions'!D51</f>
        <v>-3050.192</v>
      </c>
      <c r="E22" s="13">
        <f>'P&amp;L assumptions'!E51</f>
        <v>-3814.88</v>
      </c>
      <c r="F22" s="13"/>
      <c r="G22" s="27">
        <f>G19*G21</f>
        <v>-4034.8510399999986</v>
      </c>
      <c r="H22" s="27">
        <f t="shared" ref="H22:K22" si="6">H19*H21</f>
        <v>-4358.9018431999966</v>
      </c>
      <c r="I22" s="27">
        <f t="shared" si="6"/>
        <v>-4708.876710655999</v>
      </c>
      <c r="J22" s="27">
        <f t="shared" si="6"/>
        <v>-5086.8495675084823</v>
      </c>
      <c r="K22" s="27">
        <f t="shared" si="6"/>
        <v>-5495.060252909162</v>
      </c>
    </row>
    <row r="23" spans="2:11" ht="3.75" customHeight="1">
      <c r="C23" s="13"/>
      <c r="D23" s="13"/>
      <c r="E23" s="13"/>
      <c r="F23" s="13"/>
      <c r="G23" s="20"/>
      <c r="H23" s="20"/>
      <c r="I23" s="20"/>
      <c r="J23" s="20"/>
      <c r="K23" s="20"/>
    </row>
    <row r="24" spans="2:11" ht="12">
      <c r="B24" s="54" t="s">
        <v>115</v>
      </c>
      <c r="C24" s="55">
        <f>C19+C22</f>
        <v>12019.861333333291</v>
      </c>
      <c r="D24" s="55">
        <f t="shared" ref="D24:K24" si="7">D19+D22</f>
        <v>10458.744000000017</v>
      </c>
      <c r="E24" s="55">
        <f t="shared" si="7"/>
        <v>16331.153574602991</v>
      </c>
      <c r="F24" s="55">
        <f t="shared" si="7"/>
        <v>0</v>
      </c>
      <c r="G24" s="55">
        <f t="shared" si="7"/>
        <v>16139.404159999995</v>
      </c>
      <c r="H24" s="55">
        <f t="shared" si="7"/>
        <v>17435.607372799986</v>
      </c>
      <c r="I24" s="55">
        <f t="shared" si="7"/>
        <v>18835.506842623996</v>
      </c>
      <c r="J24" s="55">
        <f t="shared" si="7"/>
        <v>20347.398270033929</v>
      </c>
      <c r="K24" s="55">
        <f t="shared" si="7"/>
        <v>21980.241011636645</v>
      </c>
    </row>
    <row r="25" spans="2:11">
      <c r="C25" s="13"/>
      <c r="D25" s="13"/>
      <c r="E25" s="13"/>
      <c r="F25" s="13"/>
    </row>
    <row r="26" spans="2:11">
      <c r="C26" s="13"/>
      <c r="D26" s="13"/>
      <c r="E26" s="13"/>
      <c r="F26" s="13"/>
    </row>
    <row r="27" spans="2:11">
      <c r="C27" s="13"/>
      <c r="D27" s="13"/>
      <c r="E27" s="13"/>
      <c r="F27" s="13"/>
    </row>
    <row r="28" spans="2:11">
      <c r="C28" s="13"/>
      <c r="D28" s="13"/>
      <c r="E28" s="13"/>
      <c r="F28" s="13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5"/>
  <sheetViews>
    <sheetView zoomScale="130" zoomScaleNormal="130" workbookViewId="0">
      <selection activeCell="G25" sqref="G25"/>
    </sheetView>
  </sheetViews>
  <sheetFormatPr defaultColWidth="9.109375" defaultRowHeight="11.4"/>
  <cols>
    <col min="1" max="1" width="2" style="7" customWidth="1"/>
    <col min="2" max="2" width="22.6640625" style="7" bestFit="1" customWidth="1"/>
    <col min="3" max="3" width="9.109375" style="7"/>
    <col min="4" max="4" width="9.5546875" style="7" bestFit="1" customWidth="1"/>
    <col min="5" max="5" width="9.109375" style="7"/>
    <col min="6" max="6" width="2" style="7" customWidth="1"/>
    <col min="7" max="11" width="9.109375" style="7"/>
    <col min="12" max="12" width="2" style="7" customWidth="1"/>
    <col min="13" max="16384" width="9.109375" style="7"/>
  </cols>
  <sheetData>
    <row r="1" spans="2:13" ht="15.6">
      <c r="B1" s="6" t="s">
        <v>53</v>
      </c>
    </row>
    <row r="3" spans="2:13" ht="24.6" thickBot="1">
      <c r="B3" s="17" t="s">
        <v>47</v>
      </c>
      <c r="C3" s="18" t="s">
        <v>75</v>
      </c>
      <c r="D3" s="18" t="s">
        <v>76</v>
      </c>
      <c r="E3" s="18" t="s">
        <v>77</v>
      </c>
      <c r="F3" s="21"/>
      <c r="G3" s="19" t="s">
        <v>78</v>
      </c>
      <c r="H3" s="19" t="s">
        <v>79</v>
      </c>
      <c r="I3" s="19" t="s">
        <v>80</v>
      </c>
      <c r="J3" s="19" t="s">
        <v>81</v>
      </c>
      <c r="K3" s="19" t="s">
        <v>82</v>
      </c>
      <c r="M3" s="22" t="s">
        <v>52</v>
      </c>
    </row>
    <row r="4" spans="2:13">
      <c r="B4" s="7" t="s">
        <v>26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7">
        <f>$E$4</f>
        <v>5650</v>
      </c>
      <c r="H4" s="27">
        <f t="shared" ref="H4:K4" si="0">$E$4</f>
        <v>5650</v>
      </c>
      <c r="I4" s="27">
        <f t="shared" si="0"/>
        <v>5650</v>
      </c>
      <c r="J4" s="27">
        <f t="shared" si="0"/>
        <v>5650</v>
      </c>
      <c r="K4" s="27">
        <f t="shared" si="0"/>
        <v>5650</v>
      </c>
      <c r="M4" s="7" t="s">
        <v>121</v>
      </c>
    </row>
    <row r="5" spans="2:13">
      <c r="B5" s="7" t="s">
        <v>37</v>
      </c>
      <c r="C5" s="13">
        <f>SUMIF('BS assumptions'!$B:$B,BS!$B5,'BS assumptions'!C:C)</f>
        <v>45106.400000000001</v>
      </c>
      <c r="D5" s="13">
        <f>SUMIF('BS assumptions'!$B:$B,BS!$B5,'BS assumptions'!D:D)</f>
        <v>49072.4</v>
      </c>
      <c r="E5" s="13">
        <f>SUMIF('BS assumptions'!$B:$B,BS!$B5,'BS assumptions'!E:E)</f>
        <v>56109.2</v>
      </c>
      <c r="G5" s="27">
        <f>SUMIF('BS assumptions'!$B:$B,BS!$B5,'BS assumptions'!G:G)</f>
        <v>58808.963882665172</v>
      </c>
      <c r="H5" s="27">
        <f>SUMIF('BS assumptions'!$B:$B,BS!$B5,'BS assumptions'!H:H)</f>
        <v>63513.680993278387</v>
      </c>
      <c r="I5" s="27">
        <f>SUMIF('BS assumptions'!$B:$B,BS!$B5,'BS assumptions'!I:I)</f>
        <v>68594.775472740657</v>
      </c>
      <c r="J5" s="27">
        <f>SUMIF('BS assumptions'!$B:$B,BS!$B5,'BS assumptions'!J:J)</f>
        <v>74082.35751055993</v>
      </c>
      <c r="K5" s="27">
        <f>SUMIF('BS assumptions'!$B:$B,BS!$B5,'BS assumptions'!K:K)</f>
        <v>80008.946111404715</v>
      </c>
    </row>
    <row r="6" spans="2:13">
      <c r="B6" s="7" t="s">
        <v>46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7">
        <f>$E$6</f>
        <v>10323</v>
      </c>
      <c r="H6" s="27">
        <f t="shared" ref="H6:K6" si="1">$E$6</f>
        <v>10323</v>
      </c>
      <c r="I6" s="27">
        <f t="shared" si="1"/>
        <v>10323</v>
      </c>
      <c r="J6" s="27">
        <f t="shared" si="1"/>
        <v>10323</v>
      </c>
      <c r="K6" s="27">
        <f t="shared" si="1"/>
        <v>10323</v>
      </c>
      <c r="M6" s="7" t="s">
        <v>121</v>
      </c>
    </row>
    <row r="7" spans="2:13" ht="3.75" customHeight="1">
      <c r="C7" s="13"/>
      <c r="D7" s="13"/>
      <c r="E7" s="13"/>
      <c r="G7" s="27"/>
      <c r="H7" s="27"/>
      <c r="I7" s="27"/>
      <c r="J7" s="27"/>
      <c r="K7" s="27"/>
    </row>
    <row r="8" spans="2:13">
      <c r="B8" s="7" t="s">
        <v>29</v>
      </c>
      <c r="C8" s="13">
        <f>SUMIF('BS assumptions'!$B:$B,BS!$B8,'BS assumptions'!C:C)</f>
        <v>31167.200000000001</v>
      </c>
      <c r="D8" s="13">
        <f>SUMIF('BS assumptions'!$B:$B,BS!$B8,'BS assumptions'!D:D)</f>
        <v>36396.800000000003</v>
      </c>
      <c r="E8" s="13">
        <f>SUMIF('BS assumptions'!$B:$B,BS!$B8,'BS assumptions'!E:E)</f>
        <v>46212</v>
      </c>
      <c r="G8" s="27">
        <f>SUMIF('BS assumptions'!$B:$B,BS!$B8,'BS assumptions'!G:G)</f>
        <v>51493.887128335395</v>
      </c>
      <c r="H8" s="27">
        <f>SUMIF('BS assumptions'!$B:$B,BS!$B8,'BS assumptions'!H:H)</f>
        <v>55613.398098602222</v>
      </c>
      <c r="I8" s="27">
        <f>SUMIF('BS assumptions'!$B:$B,BS!$B8,'BS assumptions'!I:I)</f>
        <v>60062.469946490404</v>
      </c>
      <c r="J8" s="27">
        <f>SUMIF('BS assumptions'!$B:$B,BS!$B8,'BS assumptions'!J:J)</f>
        <v>64867.467542209641</v>
      </c>
      <c r="K8" s="27">
        <f>SUMIF('BS assumptions'!$B:$B,BS!$B8,'BS assumptions'!K:K)</f>
        <v>70056.864945586407</v>
      </c>
    </row>
    <row r="9" spans="2:13">
      <c r="B9" s="7" t="s">
        <v>108</v>
      </c>
      <c r="C9" s="13">
        <f>SUMIF('BS assumptions'!$B:$B,BS!$B9,'BS assumptions'!C:C)</f>
        <v>32883.599999999999</v>
      </c>
      <c r="D9" s="13">
        <f>SUMIF('BS assumptions'!$B:$B,BS!$B9,'BS assumptions'!D:D)</f>
        <v>38556</v>
      </c>
      <c r="E9" s="13">
        <f>SUMIF('BS assumptions'!$B:$B,BS!$B9,'BS assumptions'!E:E)</f>
        <v>43581.599999999999</v>
      </c>
      <c r="G9" s="27">
        <f>SUMIF('BS assumptions'!$B:$B,BS!$B9,'BS assumptions'!G:G)</f>
        <v>47068.128000000004</v>
      </c>
      <c r="H9" s="27">
        <f>SUMIF('BS assumptions'!$B:$B,BS!$B9,'BS assumptions'!H:H)</f>
        <v>50833.578240000003</v>
      </c>
      <c r="I9" s="27">
        <f>SUMIF('BS assumptions'!$B:$B,BS!$B9,'BS assumptions'!I:I)</f>
        <v>54900.264499199999</v>
      </c>
      <c r="J9" s="27">
        <f>SUMIF('BS assumptions'!$B:$B,BS!$B9,'BS assumptions'!J:J)</f>
        <v>59292.285659136011</v>
      </c>
      <c r="K9" s="27">
        <f>SUMIF('BS assumptions'!$B:$B,BS!$B9,'BS assumptions'!K:K)</f>
        <v>64035.66851186689</v>
      </c>
    </row>
    <row r="10" spans="2:13">
      <c r="B10" s="7" t="s">
        <v>28</v>
      </c>
      <c r="C10" s="13">
        <f>SUMIF('BS assumptions'!$B:$B,BS!$B10,'BS assumptions'!C:C)</f>
        <v>8841.6</v>
      </c>
      <c r="D10" s="13">
        <f>SUMIF('BS assumptions'!$B:$B,BS!$B10,'BS assumptions'!D:D)</f>
        <v>11359.199999999999</v>
      </c>
      <c r="E10" s="13">
        <f>SUMIF('BS assumptions'!$B:$B,BS!$B10,'BS assumptions'!E:E)</f>
        <v>17602.8</v>
      </c>
      <c r="G10" s="27">
        <f>SUMIF('BS assumptions'!$B:$B,BS!$B10,'BS assumptions'!G:G)</f>
        <v>14597.199966442211</v>
      </c>
      <c r="H10" s="27">
        <f>SUMIF('BS assumptions'!$B:$B,BS!$B10,'BS assumptions'!H:H)</f>
        <v>15764.975963757588</v>
      </c>
      <c r="I10" s="27">
        <f>SUMIF('BS assumptions'!$B:$B,BS!$B10,'BS assumptions'!I:I)</f>
        <v>17026.174040858194</v>
      </c>
      <c r="J10" s="27">
        <f>SUMIF('BS assumptions'!$B:$B,BS!$B10,'BS assumptions'!J:J)</f>
        <v>18388.267964126855</v>
      </c>
      <c r="K10" s="27">
        <f>SUMIF('BS assumptions'!$B:$B,BS!$B10,'BS assumptions'!K:K)</f>
        <v>19859.329401257</v>
      </c>
    </row>
    <row r="11" spans="2:13" ht="3.75" customHeight="1">
      <c r="C11" s="13"/>
      <c r="D11" s="13"/>
      <c r="E11" s="13"/>
      <c r="G11" s="27"/>
      <c r="H11" s="27"/>
      <c r="I11" s="27"/>
      <c r="J11" s="27"/>
      <c r="K11" s="27"/>
    </row>
    <row r="12" spans="2:13">
      <c r="B12" s="7" t="s">
        <v>30</v>
      </c>
      <c r="C12" s="13">
        <f>'BS source'!D14</f>
        <v>11791.199999999999</v>
      </c>
      <c r="D12" s="13">
        <f>'BS source'!E14</f>
        <v>19408.8</v>
      </c>
      <c r="E12" s="13">
        <f>'BS source'!F14</f>
        <v>8173.6</v>
      </c>
      <c r="G12" s="27">
        <f>E12+'Cash Flow'!G29</f>
        <v>19397.281763280247</v>
      </c>
      <c r="H12" s="27">
        <f>G12+'Cash Flow'!H29</f>
        <v>26932.227058374425</v>
      </c>
      <c r="I12" s="27">
        <f>H12+'Cash Flow'!I29</f>
        <v>35075.018857076138</v>
      </c>
      <c r="J12" s="27">
        <f>I12+'Cash Flow'!J29</f>
        <v>43874.284879673964</v>
      </c>
      <c r="K12" s="27">
        <f>J12+'Cash Flow'!K29</f>
        <v>53382.543064079669</v>
      </c>
    </row>
    <row r="13" spans="2:13" ht="3.75" customHeight="1">
      <c r="G13" s="27"/>
      <c r="H13" s="27"/>
      <c r="I13" s="27"/>
      <c r="J13" s="27"/>
      <c r="K13" s="27"/>
    </row>
    <row r="14" spans="2:13" ht="12.6" thickBot="1">
      <c r="B14" s="57" t="s">
        <v>31</v>
      </c>
      <c r="C14" s="58">
        <f>SUM(C4:C12)</f>
        <v>144575.6</v>
      </c>
      <c r="D14" s="58">
        <f t="shared" ref="D14:K14" si="2">SUM(D4:D12)</f>
        <v>170464.2</v>
      </c>
      <c r="E14" s="58">
        <f t="shared" si="2"/>
        <v>187652.19999999998</v>
      </c>
      <c r="F14" s="13"/>
      <c r="G14" s="59">
        <f t="shared" si="2"/>
        <v>207338.46074072304</v>
      </c>
      <c r="H14" s="59">
        <f t="shared" si="2"/>
        <v>228630.86035401264</v>
      </c>
      <c r="I14" s="59">
        <f t="shared" si="2"/>
        <v>251631.7028163654</v>
      </c>
      <c r="J14" s="59">
        <f t="shared" si="2"/>
        <v>276477.66355570639</v>
      </c>
      <c r="K14" s="59">
        <f t="shared" si="2"/>
        <v>303316.35203419469</v>
      </c>
    </row>
    <row r="15" spans="2:13">
      <c r="C15" s="13"/>
      <c r="D15" s="13"/>
      <c r="E15" s="13"/>
      <c r="F15" s="13"/>
      <c r="G15" s="27"/>
      <c r="H15" s="27"/>
      <c r="I15" s="27"/>
      <c r="J15" s="27"/>
      <c r="K15" s="27"/>
    </row>
    <row r="16" spans="2:13">
      <c r="B16" s="7" t="s">
        <v>38</v>
      </c>
      <c r="C16" s="13">
        <f>SUMIF('BS assumptions'!$B:$B,BS!$B16,'BS assumptions'!C:C)</f>
        <v>15891.2</v>
      </c>
      <c r="D16" s="13">
        <f>SUMIF('BS assumptions'!$B:$B,BS!$B16,'BS assumptions'!D:D)</f>
        <v>26351.599999999999</v>
      </c>
      <c r="E16" s="13">
        <f>SUMIF('BS assumptions'!$B:$B,BS!$B16,'BS assumptions'!E:E)</f>
        <v>36189.599999999999</v>
      </c>
      <c r="F16" s="13"/>
      <c r="G16" s="27">
        <f>SUMIF('BS assumptions'!$B:$B,BS!$B16,'BS assumptions'!G:G)</f>
        <v>40325.958141166935</v>
      </c>
      <c r="H16" s="27">
        <f>SUMIF('BS assumptions'!$B:$B,BS!$B16,'BS assumptions'!H:H)</f>
        <v>43552.034792460297</v>
      </c>
      <c r="I16" s="27">
        <f>SUMIF('BS assumptions'!$B:$B,BS!$B16,'BS assumptions'!I:I)</f>
        <v>47036.197575857121</v>
      </c>
      <c r="J16" s="27">
        <f>SUMIF('BS assumptions'!$B:$B,BS!$B16,'BS assumptions'!J:J)</f>
        <v>50799.09338192569</v>
      </c>
      <c r="K16" s="27">
        <f>SUMIF('BS assumptions'!$B:$B,BS!$B16,'BS assumptions'!K:K)</f>
        <v>54863.020852479742</v>
      </c>
    </row>
    <row r="17" spans="2:13">
      <c r="B17" s="7" t="s">
        <v>39</v>
      </c>
      <c r="C17" s="13">
        <f>SUMIF('BS assumptions'!$B:$B,BS!$B17,'BS assumptions'!C:C)</f>
        <v>5969.0386666666891</v>
      </c>
      <c r="D17" s="13">
        <f>SUMIF('BS assumptions'!$B:$B,BS!$B17,'BS assumptions'!D:D)</f>
        <v>5800.3560000000052</v>
      </c>
      <c r="E17" s="13">
        <f>SUMIF('BS assumptions'!$B:$B,BS!$B17,'BS assumptions'!E:E)</f>
        <v>8473.4464253970418</v>
      </c>
      <c r="F17" s="13"/>
      <c r="G17" s="27">
        <f>SUMIF('BS assumptions'!$B:$B,BS!$B17,'BS assumptions'!G:G)</f>
        <v>7883.9448649531369</v>
      </c>
      <c r="H17" s="27">
        <f>SUMIF('BS assumptions'!$B:$B,BS!$B17,'BS assumptions'!H:H)</f>
        <v>8514.6604541493871</v>
      </c>
      <c r="I17" s="27">
        <f>SUMIF('BS assumptions'!$B:$B,BS!$B17,'BS assumptions'!I:I)</f>
        <v>9195.8332904813396</v>
      </c>
      <c r="J17" s="27">
        <f>SUMIF('BS assumptions'!$B:$B,BS!$B17,'BS assumptions'!J:J)</f>
        <v>9931.4999537198473</v>
      </c>
      <c r="K17" s="27">
        <f>SUMIF('BS assumptions'!$B:$B,BS!$B17,'BS assumptions'!K:K)</f>
        <v>10726.019950017435</v>
      </c>
    </row>
    <row r="18" spans="2:13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3">
      <c r="B19" s="7" t="s">
        <v>117</v>
      </c>
      <c r="C19" s="13">
        <f>'BS source'!J15+'BS source'!J16</f>
        <v>41293.000000000007</v>
      </c>
      <c r="D19" s="13">
        <f>'BS source'!K15+'BS source'!K16</f>
        <v>50645.4</v>
      </c>
      <c r="E19" s="13">
        <f>'BS source'!L15+'BS source'!L16</f>
        <v>51120.799999999996</v>
      </c>
      <c r="F19" s="13"/>
      <c r="G19" s="27">
        <f>$E$19</f>
        <v>51120.799999999996</v>
      </c>
      <c r="H19" s="27">
        <f t="shared" ref="H19:K19" si="3">$E$19</f>
        <v>51120.799999999996</v>
      </c>
      <c r="I19" s="27">
        <f t="shared" si="3"/>
        <v>51120.799999999996</v>
      </c>
      <c r="J19" s="27">
        <f t="shared" si="3"/>
        <v>51120.799999999996</v>
      </c>
      <c r="K19" s="27">
        <f t="shared" si="3"/>
        <v>51120.799999999996</v>
      </c>
      <c r="M19" s="7" t="s">
        <v>121</v>
      </c>
    </row>
    <row r="20" spans="2:13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3">
      <c r="B21" s="7" t="s">
        <v>118</v>
      </c>
      <c r="C21" s="13">
        <f>'BS source'!J8</f>
        <v>81422.361333333276</v>
      </c>
      <c r="D21" s="13">
        <f>'BS source'!K8</f>
        <v>87666.844000000026</v>
      </c>
      <c r="E21" s="13">
        <f>'BS source'!L8</f>
        <v>91868.353574602996</v>
      </c>
      <c r="F21" s="13"/>
      <c r="G21" s="27">
        <f>E21+'P&amp;L'!G24</f>
        <v>108007.75773460299</v>
      </c>
      <c r="H21" s="27">
        <f>G21+'P&amp;L'!H24</f>
        <v>125443.36510740298</v>
      </c>
      <c r="I21" s="27">
        <f>H21+'P&amp;L'!I24</f>
        <v>144278.87195002698</v>
      </c>
      <c r="J21" s="27">
        <f>I21+'P&amp;L'!J24</f>
        <v>164626.27022006092</v>
      </c>
      <c r="K21" s="27">
        <f>J21+'P&amp;L'!K24</f>
        <v>186606.51123169757</v>
      </c>
      <c r="M21" s="7" t="s">
        <v>122</v>
      </c>
    </row>
    <row r="22" spans="2:13" ht="3.75" customHeight="1">
      <c r="C22" s="13"/>
      <c r="D22" s="13"/>
      <c r="E22" s="13"/>
      <c r="F22" s="13"/>
      <c r="G22" s="27"/>
      <c r="H22" s="27"/>
      <c r="I22" s="27"/>
      <c r="J22" s="27"/>
      <c r="K22" s="27"/>
    </row>
    <row r="23" spans="2:13" ht="12.6" thickBot="1">
      <c r="B23" s="57" t="s">
        <v>119</v>
      </c>
      <c r="C23" s="58">
        <f>SUM(C16:C21)</f>
        <v>144575.59999999998</v>
      </c>
      <c r="D23" s="58">
        <f t="shared" ref="D23:K23" si="4">SUM(D16:D21)</f>
        <v>170464.2</v>
      </c>
      <c r="E23" s="58">
        <f t="shared" si="4"/>
        <v>187652.2</v>
      </c>
      <c r="F23" s="13"/>
      <c r="G23" s="59">
        <f t="shared" si="4"/>
        <v>207338.46074072307</v>
      </c>
      <c r="H23" s="59">
        <f t="shared" si="4"/>
        <v>228630.86035401264</v>
      </c>
      <c r="I23" s="59">
        <f t="shared" si="4"/>
        <v>251631.70281636543</v>
      </c>
      <c r="J23" s="59">
        <f t="shared" si="4"/>
        <v>276477.66355570644</v>
      </c>
      <c r="K23" s="59">
        <f t="shared" si="4"/>
        <v>303316.35203419474</v>
      </c>
    </row>
    <row r="24" spans="2:13">
      <c r="G24" s="13"/>
      <c r="H24" s="13"/>
      <c r="I24" s="13"/>
      <c r="J24" s="13"/>
      <c r="K24" s="13"/>
    </row>
    <row r="25" spans="2:13">
      <c r="B25" s="7" t="s">
        <v>120</v>
      </c>
      <c r="C25" s="7">
        <f>C14-C23</f>
        <v>0</v>
      </c>
      <c r="D25" s="7">
        <f t="shared" ref="D25:K25" si="5">D14-D23</f>
        <v>0</v>
      </c>
      <c r="E25" s="7">
        <f t="shared" si="5"/>
        <v>0</v>
      </c>
      <c r="G25" s="7">
        <f t="shared" si="5"/>
        <v>0</v>
      </c>
      <c r="H25" s="7">
        <f t="shared" si="5"/>
        <v>0</v>
      </c>
      <c r="I25" s="7">
        <f t="shared" si="5"/>
        <v>0</v>
      </c>
      <c r="J25" s="7">
        <f t="shared" si="5"/>
        <v>0</v>
      </c>
      <c r="K25" s="7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N35"/>
  <sheetViews>
    <sheetView zoomScale="130" zoomScaleNormal="130" workbookViewId="0">
      <selection activeCell="D25" sqref="D25"/>
    </sheetView>
  </sheetViews>
  <sheetFormatPr defaultColWidth="9.109375" defaultRowHeight="11.4"/>
  <cols>
    <col min="1" max="1" width="2" style="11" customWidth="1"/>
    <col min="2" max="2" width="31.5546875" style="11" bestFit="1" customWidth="1"/>
    <col min="3" max="3" width="9.109375" style="11" customWidth="1"/>
    <col min="4" max="4" width="9.5546875" style="11" bestFit="1" customWidth="1"/>
    <col min="5" max="5" width="9.109375" style="11"/>
    <col min="6" max="6" width="2" style="11" customWidth="1"/>
    <col min="7" max="11" width="9.109375" style="11"/>
    <col min="12" max="12" width="2" style="11" customWidth="1"/>
    <col min="13" max="15" width="9.109375" style="11"/>
    <col min="16" max="16" width="12.88671875" style="11" bestFit="1" customWidth="1"/>
    <col min="17" max="16384" width="9.109375" style="11"/>
  </cols>
  <sheetData>
    <row r="1" spans="2:14" ht="15.6">
      <c r="B1" s="12" t="s">
        <v>25</v>
      </c>
      <c r="C1" s="12"/>
    </row>
    <row r="3" spans="2:14" ht="24.6" thickBot="1">
      <c r="B3" s="17" t="s">
        <v>47</v>
      </c>
      <c r="C3" s="17"/>
      <c r="D3" s="18" t="s">
        <v>68</v>
      </c>
      <c r="E3" s="18" t="s">
        <v>69</v>
      </c>
      <c r="F3" s="21"/>
      <c r="G3" s="19" t="s">
        <v>70</v>
      </c>
      <c r="H3" s="19" t="s">
        <v>71</v>
      </c>
      <c r="I3" s="19" t="s">
        <v>72</v>
      </c>
      <c r="J3" s="19" t="s">
        <v>73</v>
      </c>
      <c r="K3" s="19" t="s">
        <v>74</v>
      </c>
      <c r="L3" s="7"/>
      <c r="M3" s="22" t="s">
        <v>52</v>
      </c>
    </row>
    <row r="4" spans="2:14">
      <c r="B4" s="11" t="s">
        <v>16</v>
      </c>
      <c r="D4" s="11">
        <f>'P&amp;L'!D15</f>
        <v>16564.136000000017</v>
      </c>
      <c r="E4" s="11">
        <f>'P&amp;L'!E15</f>
        <v>23130.213574602993</v>
      </c>
      <c r="F4" s="31"/>
      <c r="G4" s="78">
        <f>'P&amp;L'!G15</f>
        <v>22838.175199999994</v>
      </c>
      <c r="H4" s="78">
        <f>'P&amp;L'!H15</f>
        <v>24458.429215999982</v>
      </c>
      <c r="I4" s="78">
        <f>'P&amp;L'!I15</f>
        <v>26208.303553279991</v>
      </c>
      <c r="J4" s="78">
        <f>'P&amp;L'!J15</f>
        <v>28098.167837542409</v>
      </c>
      <c r="K4" s="78">
        <f>'P&amp;L'!K15</f>
        <v>30139.221264545809</v>
      </c>
    </row>
    <row r="5" spans="2:14">
      <c r="B5" s="60" t="s">
        <v>123</v>
      </c>
      <c r="C5" s="60"/>
      <c r="D5" s="60">
        <f>D6*D4</f>
        <v>-3740.0277204742097</v>
      </c>
      <c r="E5" s="60">
        <f>E6*E4</f>
        <v>-4379.9683364332095</v>
      </c>
      <c r="F5" s="31"/>
      <c r="G5" s="70">
        <f>G6*G4</f>
        <v>-4567.6350399999992</v>
      </c>
      <c r="H5" s="70">
        <f>H6*H4</f>
        <v>-4891.6858431999963</v>
      </c>
      <c r="I5" s="70">
        <f t="shared" ref="I5:K5" si="0">I6*I4</f>
        <v>-5241.6607106559986</v>
      </c>
      <c r="J5" s="70">
        <f t="shared" si="0"/>
        <v>-5619.633567508482</v>
      </c>
      <c r="K5" s="70">
        <f t="shared" si="0"/>
        <v>-6027.8442529091626</v>
      </c>
    </row>
    <row r="6" spans="2:14">
      <c r="B6" s="60" t="s">
        <v>124</v>
      </c>
      <c r="C6" s="60"/>
      <c r="D6" s="66">
        <f>'P&amp;L'!D21</f>
        <v>-0.22579069143565386</v>
      </c>
      <c r="E6" s="66">
        <f>'P&amp;L'!E21</f>
        <v>-0.18936134430001206</v>
      </c>
      <c r="F6" s="66"/>
      <c r="G6" s="67">
        <f>'P&amp;L'!G21</f>
        <v>-0.2</v>
      </c>
      <c r="H6" s="67">
        <f>'P&amp;L'!H21</f>
        <v>-0.2</v>
      </c>
      <c r="I6" s="67">
        <f>'P&amp;L'!I21</f>
        <v>-0.2</v>
      </c>
      <c r="J6" s="67">
        <f>'P&amp;L'!J21</f>
        <v>-0.2</v>
      </c>
      <c r="K6" s="67">
        <f>'P&amp;L'!K21</f>
        <v>-0.2</v>
      </c>
      <c r="L6" s="60"/>
      <c r="M6" s="60"/>
      <c r="N6" s="60"/>
    </row>
    <row r="7" spans="2:14" ht="12">
      <c r="B7" s="50" t="s">
        <v>125</v>
      </c>
      <c r="C7" s="50"/>
      <c r="D7" s="50">
        <f>SUM(D4:D5)</f>
        <v>12824.108279525808</v>
      </c>
      <c r="E7" s="50">
        <f>SUM(E4:E5)</f>
        <v>18750.245238169784</v>
      </c>
      <c r="F7" s="63"/>
      <c r="G7" s="79">
        <f>SUM(G4:G5)</f>
        <v>18270.540159999997</v>
      </c>
      <c r="H7" s="79">
        <f>SUM(H4:H5)</f>
        <v>19566.743372799985</v>
      </c>
      <c r="I7" s="79">
        <f t="shared" ref="I7:K7" si="1">SUM(I4:I5)</f>
        <v>20966.642842623995</v>
      </c>
      <c r="J7" s="79">
        <f t="shared" si="1"/>
        <v>22478.534270033928</v>
      </c>
      <c r="K7" s="79">
        <f t="shared" si="1"/>
        <v>24111.377011636647</v>
      </c>
      <c r="L7" s="60"/>
      <c r="M7" s="60"/>
      <c r="N7" s="60"/>
    </row>
    <row r="8" spans="2:14" ht="3.75" customHeight="1">
      <c r="B8" s="61"/>
      <c r="C8" s="61"/>
      <c r="D8" s="61"/>
      <c r="E8" s="61"/>
      <c r="F8" s="60"/>
      <c r="G8" s="80"/>
      <c r="H8" s="80"/>
      <c r="I8" s="80"/>
      <c r="J8" s="80"/>
      <c r="K8" s="80"/>
      <c r="L8" s="60"/>
      <c r="M8" s="60"/>
      <c r="N8" s="60"/>
    </row>
    <row r="9" spans="2:14">
      <c r="B9" s="60" t="s">
        <v>126</v>
      </c>
      <c r="C9" s="60"/>
      <c r="D9" s="60">
        <f>-'P&amp;L'!D14</f>
        <v>4649.8</v>
      </c>
      <c r="E9" s="60">
        <f>-'P&amp;L'!E14</f>
        <v>6430.6600000000008</v>
      </c>
      <c r="F9" s="60"/>
      <c r="G9" s="70">
        <f>-'P&amp;L'!G14</f>
        <v>5625.8820000000014</v>
      </c>
      <c r="H9" s="70">
        <f>-'P&amp;L'!H14</f>
        <v>6075.9525600000015</v>
      </c>
      <c r="I9" s="70">
        <f>-'P&amp;L'!I14</f>
        <v>6562.0287648000012</v>
      </c>
      <c r="J9" s="70">
        <f>-'P&amp;L'!J14</f>
        <v>7086.9910659840025</v>
      </c>
      <c r="K9" s="70">
        <f>-'P&amp;L'!K14</f>
        <v>7653.9503512627234</v>
      </c>
      <c r="L9" s="60"/>
      <c r="M9" s="60"/>
      <c r="N9" s="60"/>
    </row>
    <row r="10" spans="2:14" ht="12">
      <c r="B10" s="50" t="s">
        <v>127</v>
      </c>
      <c r="C10" s="50"/>
      <c r="D10" s="50">
        <f>SUM(D7:D9)</f>
        <v>17473.908279525807</v>
      </c>
      <c r="E10" s="50">
        <f>SUM(E7:E9)</f>
        <v>25180.905238169784</v>
      </c>
      <c r="F10" s="65"/>
      <c r="G10" s="79">
        <f>SUM(G7:G9)</f>
        <v>23896.422159999998</v>
      </c>
      <c r="H10" s="79">
        <f>SUM(H7:H9)</f>
        <v>25642.695932799987</v>
      </c>
      <c r="I10" s="79">
        <f t="shared" ref="I10:K10" si="2">SUM(I7:I9)</f>
        <v>27528.671607423996</v>
      </c>
      <c r="J10" s="79">
        <f t="shared" si="2"/>
        <v>29565.52533601793</v>
      </c>
      <c r="K10" s="79">
        <f t="shared" si="2"/>
        <v>31765.32736289937</v>
      </c>
      <c r="L10" s="60"/>
      <c r="M10" s="60" t="s">
        <v>140</v>
      </c>
      <c r="N10" s="60"/>
    </row>
    <row r="11" spans="2:14" ht="3.75" customHeight="1">
      <c r="B11" s="60"/>
      <c r="C11" s="60"/>
      <c r="D11" s="60"/>
      <c r="E11" s="60"/>
      <c r="F11" s="68"/>
      <c r="G11" s="70"/>
      <c r="H11" s="70"/>
      <c r="I11" s="70"/>
      <c r="J11" s="70"/>
      <c r="K11" s="70"/>
      <c r="L11" s="60"/>
      <c r="M11" s="60"/>
      <c r="N11" s="60"/>
    </row>
    <row r="12" spans="2:14">
      <c r="B12" s="60" t="s">
        <v>29</v>
      </c>
      <c r="C12" s="60"/>
      <c r="D12" s="60">
        <f>-(BS!D8-BS!C8)</f>
        <v>-5229.6000000000022</v>
      </c>
      <c r="E12" s="60">
        <f>-(BS!E8-BS!D8)</f>
        <v>-9815.1999999999971</v>
      </c>
      <c r="F12" s="69"/>
      <c r="G12" s="70">
        <f>-(BS!G8-BS!E8)</f>
        <v>-5281.8871283353947</v>
      </c>
      <c r="H12" s="70">
        <f>-(BS!H8-BS!G8)</f>
        <v>-4119.5109702668269</v>
      </c>
      <c r="I12" s="70">
        <f>-(BS!I8-BS!H8)</f>
        <v>-4449.0718478881827</v>
      </c>
      <c r="J12" s="70">
        <f>-(BS!J8-BS!I8)</f>
        <v>-4804.9975957192364</v>
      </c>
      <c r="K12" s="70">
        <f>-(BS!K8-BS!J8)</f>
        <v>-5189.3974033767663</v>
      </c>
      <c r="L12" s="60"/>
      <c r="M12" s="60"/>
      <c r="N12" s="60"/>
    </row>
    <row r="13" spans="2:14">
      <c r="B13" s="60" t="s">
        <v>27</v>
      </c>
      <c r="C13" s="60"/>
      <c r="D13" s="60">
        <f>-(BS!D9-BS!C9)</f>
        <v>-5672.4000000000015</v>
      </c>
      <c r="E13" s="60">
        <f>-(BS!E9-BS!D9)</f>
        <v>-5025.5999999999985</v>
      </c>
      <c r="F13" s="69"/>
      <c r="G13" s="70">
        <f>-(BS!G9-BS!E9)</f>
        <v>-3486.5280000000057</v>
      </c>
      <c r="H13" s="70">
        <f>-(BS!H9-BS!G9)</f>
        <v>-3765.4502399999983</v>
      </c>
      <c r="I13" s="70">
        <f>-(BS!I9-BS!H9)</f>
        <v>-4066.6862591999961</v>
      </c>
      <c r="J13" s="70">
        <f>-(BS!J9-BS!I9)</f>
        <v>-4392.0211599360118</v>
      </c>
      <c r="K13" s="70">
        <f>-(BS!K9-BS!J9)</f>
        <v>-4743.3828527308797</v>
      </c>
      <c r="L13" s="60"/>
      <c r="M13" s="60"/>
      <c r="N13" s="60"/>
    </row>
    <row r="14" spans="2:14">
      <c r="B14" s="60" t="s">
        <v>128</v>
      </c>
      <c r="C14" s="60"/>
      <c r="D14" s="60">
        <f>BS!D16-BS!C16</f>
        <v>10460.399999999998</v>
      </c>
      <c r="E14" s="60">
        <f>BS!E16-BS!D16</f>
        <v>9838</v>
      </c>
      <c r="F14" s="60"/>
      <c r="G14" s="70">
        <f>BS!G16-BS!E16</f>
        <v>4136.3581411669365</v>
      </c>
      <c r="H14" s="70">
        <f>BS!H16-BS!G16</f>
        <v>3226.0766512933624</v>
      </c>
      <c r="I14" s="70">
        <f>BS!I16-BS!H16</f>
        <v>3484.1627833968232</v>
      </c>
      <c r="J14" s="70">
        <f>BS!J16-BS!I16</f>
        <v>3762.8958060685691</v>
      </c>
      <c r="K14" s="70">
        <f>BS!K16-BS!J16</f>
        <v>4063.927470554052</v>
      </c>
      <c r="L14" s="60"/>
      <c r="M14" s="60"/>
      <c r="N14" s="60"/>
    </row>
    <row r="15" spans="2:14" ht="12">
      <c r="B15" s="50" t="s">
        <v>129</v>
      </c>
      <c r="C15" s="50"/>
      <c r="D15" s="50">
        <f>SUM(D12:D14)</f>
        <v>-441.60000000000582</v>
      </c>
      <c r="E15" s="50">
        <f>SUM(E12:E14)</f>
        <v>-5002.7999999999956</v>
      </c>
      <c r="F15" s="65"/>
      <c r="G15" s="79">
        <f>SUM(G12:G14)</f>
        <v>-4632.0569871684638</v>
      </c>
      <c r="H15" s="79">
        <f>SUM(H12:H14)</f>
        <v>-4658.8845589734628</v>
      </c>
      <c r="I15" s="79">
        <f t="shared" ref="I15:K15" si="3">SUM(I12:I14)</f>
        <v>-5031.5953236913556</v>
      </c>
      <c r="J15" s="79">
        <f t="shared" si="3"/>
        <v>-5434.1229495866792</v>
      </c>
      <c r="K15" s="79">
        <f t="shared" si="3"/>
        <v>-5868.852785553594</v>
      </c>
      <c r="L15" s="60"/>
      <c r="M15" s="60" t="s">
        <v>141</v>
      </c>
      <c r="N15" s="60"/>
    </row>
    <row r="16" spans="2:14" ht="12">
      <c r="B16" s="62" t="s">
        <v>130</v>
      </c>
      <c r="C16" s="62"/>
      <c r="D16" s="62">
        <f>-(BS!D10-BS!C10)+BS!D17-BS!C17</f>
        <v>-2686.2826666666824</v>
      </c>
      <c r="E16" s="62">
        <f>-(BS!E10-BS!D10)+BS!E17-BS!D17</f>
        <v>-3570.5095746029638</v>
      </c>
      <c r="F16" s="60"/>
      <c r="G16" s="81">
        <f>-(BS!G10-BS!E10)+BS!G17-BS!E17</f>
        <v>2416.0984731138833</v>
      </c>
      <c r="H16" s="81">
        <f>-(BS!H10-BS!G10)+BS!H17-BS!G17</f>
        <v>-537.06040811912681</v>
      </c>
      <c r="I16" s="81">
        <f>-(BS!I10-BS!H10)+BS!I17-BS!H17</f>
        <v>-580.02524076865302</v>
      </c>
      <c r="J16" s="81">
        <f>-(BS!J10-BS!I10)+BS!J17-BS!I17</f>
        <v>-626.42726003015378</v>
      </c>
      <c r="K16" s="81">
        <f>-(BS!K10-BS!J10)+BS!K17-BS!J17</f>
        <v>-676.54144083255778</v>
      </c>
      <c r="L16" s="60"/>
      <c r="M16" s="60" t="s">
        <v>142</v>
      </c>
      <c r="N16" s="60"/>
    </row>
    <row r="17" spans="2:14" ht="3.75" customHeight="1">
      <c r="B17" s="62"/>
      <c r="C17" s="62"/>
      <c r="D17" s="62"/>
      <c r="E17" s="62"/>
      <c r="F17" s="60"/>
      <c r="G17" s="81"/>
      <c r="H17" s="81"/>
      <c r="I17" s="81"/>
      <c r="J17" s="81"/>
      <c r="K17" s="81"/>
      <c r="L17" s="60"/>
      <c r="M17" s="60"/>
      <c r="N17" s="60"/>
    </row>
    <row r="18" spans="2:14" ht="12">
      <c r="B18" s="62" t="s">
        <v>131</v>
      </c>
      <c r="C18" s="62"/>
      <c r="D18" s="62">
        <f>-(BS!D5-BS!C5)+'P&amp;L'!D14</f>
        <v>-8615.7999999999993</v>
      </c>
      <c r="E18" s="62">
        <f>-(BS!E5-BS!D5)+'P&amp;L'!E14</f>
        <v>-13467.459999999995</v>
      </c>
      <c r="F18" s="60"/>
      <c r="G18" s="81">
        <f>-(BS!G5-BS!E5)+'P&amp;L'!G14</f>
        <v>-8325.645882665176</v>
      </c>
      <c r="H18" s="81">
        <f>-(BS!H5-BS!G5)+'P&amp;L'!H14</f>
        <v>-10780.669670613217</v>
      </c>
      <c r="I18" s="81">
        <f>-(BS!I5-BS!H5)+'P&amp;L'!I14</f>
        <v>-11643.123244262271</v>
      </c>
      <c r="J18" s="81">
        <f>-(BS!J5-BS!I5)+'P&amp;L'!J14</f>
        <v>-12574.573103803275</v>
      </c>
      <c r="K18" s="81">
        <f>-(BS!K5-BS!J5)+'P&amp;L'!K14</f>
        <v>-13580.538952107509</v>
      </c>
      <c r="L18" s="60"/>
      <c r="M18" s="60" t="s">
        <v>143</v>
      </c>
      <c r="N18" s="60"/>
    </row>
    <row r="19" spans="2:14" ht="12">
      <c r="B19" s="62" t="s">
        <v>134</v>
      </c>
      <c r="C19" s="62"/>
      <c r="D19" s="62">
        <f>-(BS!D4-BS!C4)-(BS!D6-BS!C6)</f>
        <v>-885.39999999999964</v>
      </c>
      <c r="E19" s="62">
        <f>-(BS!E4-BS!D4)-(BS!E6-BS!D6)</f>
        <v>-302</v>
      </c>
      <c r="F19" s="71"/>
      <c r="G19" s="81">
        <f>-(BS!G4-BS!E4)-(BS!G6-BS!E6)</f>
        <v>0</v>
      </c>
      <c r="H19" s="81">
        <f>-(BS!H4-BS!G4)-(BS!H6-BS!G6)</f>
        <v>0</v>
      </c>
      <c r="I19" s="81">
        <f>-(BS!I4-BS!H4)-(BS!I6-BS!H6)</f>
        <v>0</v>
      </c>
      <c r="J19" s="81">
        <f>-(BS!J4-BS!I4)-(BS!J6-BS!I6)</f>
        <v>0</v>
      </c>
      <c r="K19" s="81">
        <f>-(BS!K4-BS!J4)-(BS!K6-BS!J6)</f>
        <v>0</v>
      </c>
      <c r="L19" s="60"/>
      <c r="M19" s="60" t="s">
        <v>144</v>
      </c>
      <c r="N19" s="60"/>
    </row>
    <row r="20" spans="2:14" ht="3.75" customHeight="1">
      <c r="B20" s="60"/>
      <c r="C20" s="60"/>
      <c r="D20" s="60"/>
      <c r="E20" s="60"/>
      <c r="F20" s="60"/>
      <c r="G20" s="70"/>
      <c r="H20" s="70"/>
      <c r="I20" s="70"/>
      <c r="J20" s="70"/>
      <c r="K20" s="70"/>
      <c r="L20" s="60"/>
      <c r="M20" s="60"/>
      <c r="N20" s="60"/>
    </row>
    <row r="21" spans="2:14" ht="12">
      <c r="B21" s="62" t="s">
        <v>132</v>
      </c>
      <c r="C21" s="64"/>
      <c r="D21" s="62">
        <f>'P&amp;L'!D18</f>
        <v>-864.30000000000007</v>
      </c>
      <c r="E21" s="62">
        <f>'P&amp;L'!E18</f>
        <v>-320.26</v>
      </c>
      <c r="F21" s="72"/>
      <c r="G21" s="81">
        <f>'P&amp;L'!G18</f>
        <v>0</v>
      </c>
      <c r="H21" s="81">
        <f>'P&amp;L'!H18</f>
        <v>0</v>
      </c>
      <c r="I21" s="81">
        <f>'P&amp;L'!I18</f>
        <v>0</v>
      </c>
      <c r="J21" s="81">
        <f>'P&amp;L'!J18</f>
        <v>0</v>
      </c>
      <c r="K21" s="81">
        <f>'P&amp;L'!K18</f>
        <v>0</v>
      </c>
      <c r="L21" s="60"/>
      <c r="M21" s="60" t="s">
        <v>145</v>
      </c>
      <c r="N21" s="60"/>
    </row>
    <row r="22" spans="2:14" ht="3.75" customHeight="1">
      <c r="B22" s="60"/>
      <c r="C22" s="60"/>
      <c r="D22" s="60"/>
      <c r="E22" s="60"/>
      <c r="F22" s="60"/>
      <c r="G22" s="70"/>
      <c r="H22" s="70"/>
      <c r="I22" s="70"/>
      <c r="J22" s="70"/>
      <c r="K22" s="70"/>
      <c r="L22" s="60"/>
      <c r="M22" s="60"/>
      <c r="N22" s="60"/>
    </row>
    <row r="23" spans="2:14" ht="12">
      <c r="B23" s="73" t="s">
        <v>133</v>
      </c>
      <c r="C23" s="73"/>
      <c r="D23" s="73">
        <f>SUM(D10,D15,D16,D18,D19,D21)</f>
        <v>3980.52561285912</v>
      </c>
      <c r="E23" s="73">
        <f>SUM(E10,E15,E16,E18,E19,E21)</f>
        <v>2517.8756635668306</v>
      </c>
      <c r="F23" s="73"/>
      <c r="G23" s="73">
        <f>SUM(G10,G15,G16,G18,G19,G21)</f>
        <v>13354.817763280244</v>
      </c>
      <c r="H23" s="73">
        <f>SUM(H10,H15,H16,H18,H19,H21)</f>
        <v>9666.0812950941799</v>
      </c>
      <c r="I23" s="73">
        <f t="shared" ref="I23:K23" si="4">SUM(I10,I15,I16,I18,I19,I21)</f>
        <v>10273.927798701716</v>
      </c>
      <c r="J23" s="73">
        <f t="shared" si="4"/>
        <v>10930.402022597824</v>
      </c>
      <c r="K23" s="73">
        <f t="shared" si="4"/>
        <v>11639.394184405708</v>
      </c>
      <c r="L23" s="60"/>
      <c r="M23" s="60" t="s">
        <v>146</v>
      </c>
      <c r="N23" s="60"/>
    </row>
    <row r="24" spans="2:14" ht="3.75" customHeight="1">
      <c r="B24" s="74"/>
      <c r="G24" s="78"/>
      <c r="H24" s="78"/>
      <c r="I24" s="78"/>
      <c r="J24" s="78"/>
      <c r="K24" s="78"/>
    </row>
    <row r="25" spans="2:14" ht="12">
      <c r="B25" s="75" t="s">
        <v>135</v>
      </c>
      <c r="C25" s="43"/>
      <c r="D25" s="60">
        <f>'P&amp;L'!D17</f>
        <v>-2190.9</v>
      </c>
      <c r="E25" s="60">
        <f>'P&amp;L'!E17</f>
        <v>-2663.92</v>
      </c>
      <c r="F25" s="43"/>
      <c r="G25" s="70">
        <f>'P&amp;L'!G17</f>
        <v>-2663.92</v>
      </c>
      <c r="H25" s="70">
        <f>'P&amp;L'!H17</f>
        <v>-2663.92</v>
      </c>
      <c r="I25" s="70">
        <f>'P&amp;L'!I17</f>
        <v>-2663.92</v>
      </c>
      <c r="J25" s="70">
        <f>'P&amp;L'!J17</f>
        <v>-2663.92</v>
      </c>
      <c r="K25" s="70">
        <f>'P&amp;L'!K17</f>
        <v>-2663.92</v>
      </c>
    </row>
    <row r="26" spans="2:14">
      <c r="B26" s="75" t="s">
        <v>136</v>
      </c>
      <c r="D26" s="60">
        <f>'P&amp;L'!D22-'Cash Flow'!D5</f>
        <v>689.83572047420967</v>
      </c>
      <c r="E26" s="60">
        <f>'P&amp;L'!E22-'Cash Flow'!E5</f>
        <v>565.08833643320941</v>
      </c>
      <c r="G26" s="70">
        <f>'P&amp;L'!G22-'Cash Flow'!G5</f>
        <v>532.78400000000056</v>
      </c>
      <c r="H26" s="70">
        <f>'P&amp;L'!H22-'Cash Flow'!H5</f>
        <v>532.78399999999965</v>
      </c>
      <c r="I26" s="70">
        <f>'P&amp;L'!I22-'Cash Flow'!I5</f>
        <v>532.78399999999965</v>
      </c>
      <c r="J26" s="70">
        <f>'P&amp;L'!J22-'Cash Flow'!J5</f>
        <v>532.78399999999965</v>
      </c>
      <c r="K26" s="70">
        <f>'P&amp;L'!K22-'Cash Flow'!K5</f>
        <v>532.78400000000056</v>
      </c>
    </row>
    <row r="27" spans="2:14">
      <c r="B27" s="75" t="s">
        <v>137</v>
      </c>
      <c r="C27" s="44"/>
      <c r="D27" s="60">
        <f>BS!D19-BS!C19</f>
        <v>9352.3999999999942</v>
      </c>
      <c r="E27" s="60">
        <f>BS!E19-BS!D19</f>
        <v>475.39999999999418</v>
      </c>
      <c r="F27" s="45"/>
      <c r="G27" s="70">
        <f>BS!G19-BS!E19</f>
        <v>0</v>
      </c>
      <c r="H27" s="70">
        <f>BS!H19-BS!G19</f>
        <v>0</v>
      </c>
      <c r="I27" s="70">
        <f>BS!I19-BS!H19</f>
        <v>0</v>
      </c>
      <c r="J27" s="70">
        <f>BS!J19-BS!I19</f>
        <v>0</v>
      </c>
      <c r="K27" s="70">
        <f>BS!K19-BS!J19</f>
        <v>0</v>
      </c>
    </row>
    <row r="28" spans="2:14">
      <c r="B28" s="75" t="s">
        <v>138</v>
      </c>
      <c r="C28" s="44"/>
      <c r="D28" s="60">
        <f>BS!D21-BS!C21-'P&amp;L'!D24</f>
        <v>-4214.2613333332665</v>
      </c>
      <c r="E28" s="60">
        <f>BS!E21-BS!D21-'P&amp;L'!E24</f>
        <v>-12129.644000000022</v>
      </c>
      <c r="F28" s="45"/>
      <c r="G28" s="70">
        <f>BS!G21-BS!E21-'P&amp;L'!G24</f>
        <v>0</v>
      </c>
      <c r="H28" s="70">
        <f>BS!H21-BS!G21-'P&amp;L'!H24</f>
        <v>0</v>
      </c>
      <c r="I28" s="70">
        <f>BS!I21-BS!H21-'P&amp;L'!I24</f>
        <v>0</v>
      </c>
      <c r="J28" s="70">
        <f>BS!J21-BS!I21-'P&amp;L'!J24</f>
        <v>0</v>
      </c>
      <c r="K28" s="70">
        <f>BS!K21-BS!J21-'P&amp;L'!K24</f>
        <v>0</v>
      </c>
    </row>
    <row r="29" spans="2:14" ht="12">
      <c r="B29" s="73" t="s">
        <v>139</v>
      </c>
      <c r="C29" s="73"/>
      <c r="D29" s="73">
        <f>SUM(D23:D28)</f>
        <v>7617.6000000000568</v>
      </c>
      <c r="E29" s="73">
        <f>SUM(E23:E28)</f>
        <v>-11235.199999999988</v>
      </c>
      <c r="F29" s="73"/>
      <c r="G29" s="73">
        <f>SUM(G23:G28)</f>
        <v>11223.681763280245</v>
      </c>
      <c r="H29" s="73">
        <f>SUM(H23:H28)</f>
        <v>7534.9452950941795</v>
      </c>
      <c r="I29" s="73">
        <f t="shared" ref="I29:K29" si="5">SUM(I23:I28)</f>
        <v>8142.7917987017154</v>
      </c>
      <c r="J29" s="73">
        <f t="shared" si="5"/>
        <v>8799.2660225978234</v>
      </c>
      <c r="K29" s="73">
        <f t="shared" si="5"/>
        <v>9508.2581844057095</v>
      </c>
    </row>
    <row r="30" spans="2:14" ht="3.75" customHeight="1">
      <c r="B30" s="74"/>
      <c r="G30" s="31"/>
      <c r="H30" s="31"/>
      <c r="I30" s="31"/>
      <c r="J30" s="31"/>
      <c r="K30" s="31"/>
    </row>
    <row r="31" spans="2:14">
      <c r="B31" s="76" t="s">
        <v>147</v>
      </c>
      <c r="C31" s="44"/>
      <c r="D31" s="77">
        <f>BS!C12</f>
        <v>11791.199999999999</v>
      </c>
      <c r="E31" s="77">
        <f>BS!D12</f>
        <v>19408.8</v>
      </c>
      <c r="G31" s="77">
        <f>BS!E12</f>
        <v>8173.6</v>
      </c>
      <c r="H31" s="11">
        <f>BS!G12</f>
        <v>19397.281763280247</v>
      </c>
      <c r="I31" s="11">
        <f>BS!H12</f>
        <v>26932.227058374425</v>
      </c>
      <c r="J31" s="11">
        <f>BS!I12</f>
        <v>35075.018857076138</v>
      </c>
      <c r="K31" s="11">
        <f>BS!J12</f>
        <v>43874.284879673964</v>
      </c>
    </row>
    <row r="32" spans="2:14">
      <c r="B32" s="44" t="s">
        <v>148</v>
      </c>
      <c r="C32" s="44"/>
      <c r="D32" s="44">
        <f>D29+D31</f>
        <v>19408.800000000054</v>
      </c>
      <c r="E32" s="44">
        <f>E29+E31</f>
        <v>8173.6000000000113</v>
      </c>
      <c r="G32" s="44">
        <f>G29+G31</f>
        <v>19397.281763280247</v>
      </c>
      <c r="H32" s="11">
        <f>H29+H31</f>
        <v>26932.227058374425</v>
      </c>
      <c r="I32" s="11">
        <f t="shared" ref="I32:K32" si="6">I29+I31</f>
        <v>35075.018857076138</v>
      </c>
      <c r="J32" s="11">
        <f t="shared" si="6"/>
        <v>43874.284879673964</v>
      </c>
      <c r="K32" s="11">
        <f t="shared" si="6"/>
        <v>53382.543064079669</v>
      </c>
    </row>
    <row r="34" spans="2:11">
      <c r="B34" s="44" t="s">
        <v>120</v>
      </c>
      <c r="C34" s="44"/>
      <c r="D34" s="44">
        <f>BS!D12</f>
        <v>19408.8</v>
      </c>
      <c r="E34" s="44">
        <f>BS!E12</f>
        <v>8173.6</v>
      </c>
      <c r="G34" s="44">
        <f>BS!G12</f>
        <v>19397.281763280247</v>
      </c>
      <c r="H34" s="11">
        <f>BS!H12</f>
        <v>26932.227058374425</v>
      </c>
      <c r="I34" s="11">
        <f>BS!I12</f>
        <v>35075.018857076138</v>
      </c>
      <c r="J34" s="11">
        <f>BS!J12</f>
        <v>43874.284879673964</v>
      </c>
      <c r="K34" s="11">
        <f>BS!K12</f>
        <v>53382.543064079669</v>
      </c>
    </row>
    <row r="35" spans="2:11">
      <c r="B35" s="44"/>
      <c r="C35" s="44"/>
      <c r="D35" s="44">
        <f>D32-D34</f>
        <v>5.4569682106375694E-11</v>
      </c>
      <c r="E35" s="44">
        <f>E32-E34</f>
        <v>1.0913936421275139E-11</v>
      </c>
      <c r="G35" s="44">
        <f>G32-G34</f>
        <v>0</v>
      </c>
      <c r="H35" s="11">
        <f>H32-H34</f>
        <v>0</v>
      </c>
      <c r="I35" s="11">
        <f t="shared" ref="I35:K35" si="7">I32-I34</f>
        <v>0</v>
      </c>
      <c r="J35" s="11">
        <f t="shared" si="7"/>
        <v>0</v>
      </c>
      <c r="K35" s="11">
        <f t="shared" si="7"/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5"/>
  <sheetViews>
    <sheetView topLeftCell="A3" zoomScale="130" zoomScaleNormal="130" workbookViewId="0">
      <selection activeCell="E15" sqref="E15:E17"/>
    </sheetView>
  </sheetViews>
  <sheetFormatPr defaultColWidth="9.109375" defaultRowHeight="11.4"/>
  <cols>
    <col min="1" max="1" width="2" style="7" customWidth="1"/>
    <col min="2" max="2" width="22.6640625" style="7" customWidth="1"/>
    <col min="3" max="3" width="10" style="7" bestFit="1" customWidth="1"/>
    <col min="4" max="4" width="9.109375" style="7"/>
    <col min="5" max="5" width="11.5546875" style="7" bestFit="1" customWidth="1"/>
    <col min="6" max="6" width="2" style="7" customWidth="1"/>
    <col min="7" max="7" width="10" style="7" bestFit="1" customWidth="1"/>
    <col min="8" max="11" width="9.109375" style="7"/>
    <col min="12" max="12" width="2" style="7" customWidth="1"/>
    <col min="13" max="16384" width="9.109375" style="7"/>
  </cols>
  <sheetData>
    <row r="1" spans="2:13" ht="15.6">
      <c r="B1" s="6" t="s">
        <v>4</v>
      </c>
    </row>
    <row r="4" spans="2:13" ht="12">
      <c r="B4" s="7" t="s">
        <v>149</v>
      </c>
      <c r="C4" s="82">
        <v>0.1</v>
      </c>
    </row>
    <row r="5" spans="2:13" ht="12">
      <c r="B5" s="7" t="s">
        <v>150</v>
      </c>
      <c r="C5" s="82">
        <v>0.02</v>
      </c>
    </row>
    <row r="6" spans="2:13">
      <c r="G6" s="7">
        <v>1</v>
      </c>
      <c r="H6" s="7">
        <v>2</v>
      </c>
      <c r="I6" s="7">
        <v>3</v>
      </c>
      <c r="J6" s="7">
        <v>4</v>
      </c>
      <c r="K6" s="7">
        <v>5</v>
      </c>
    </row>
    <row r="7" spans="2:13" ht="24.6" thickBot="1">
      <c r="B7" s="17" t="s">
        <v>47</v>
      </c>
      <c r="C7" s="18" t="s">
        <v>67</v>
      </c>
      <c r="D7" s="18" t="s">
        <v>68</v>
      </c>
      <c r="E7" s="18" t="s">
        <v>69</v>
      </c>
      <c r="F7" s="21"/>
      <c r="G7" s="19" t="s">
        <v>70</v>
      </c>
      <c r="H7" s="19" t="s">
        <v>71</v>
      </c>
      <c r="I7" s="19" t="s">
        <v>72</v>
      </c>
      <c r="J7" s="19" t="s">
        <v>73</v>
      </c>
      <c r="K7" s="19" t="s">
        <v>74</v>
      </c>
      <c r="M7" s="22" t="s">
        <v>52</v>
      </c>
    </row>
    <row r="8" spans="2:13">
      <c r="B8" s="83" t="s">
        <v>133</v>
      </c>
      <c r="C8" s="83"/>
      <c r="D8" s="84">
        <f>'Cash Flow'!D23</f>
        <v>3980.52561285912</v>
      </c>
      <c r="E8" s="84">
        <f>'Cash Flow'!E23</f>
        <v>2517.8756635668306</v>
      </c>
      <c r="F8" s="83"/>
      <c r="G8" s="85">
        <f>'Cash Flow'!G23</f>
        <v>13354.817763280244</v>
      </c>
      <c r="H8" s="85">
        <f>'Cash Flow'!H23</f>
        <v>9666.0812950941799</v>
      </c>
      <c r="I8" s="85">
        <f>'Cash Flow'!I23</f>
        <v>10273.927798701716</v>
      </c>
      <c r="J8" s="85">
        <f>'Cash Flow'!J23</f>
        <v>10930.402022597824</v>
      </c>
      <c r="K8" s="85">
        <f>'Cash Flow'!K23</f>
        <v>11639.394184405708</v>
      </c>
    </row>
    <row r="9" spans="2:13" ht="3.75" customHeight="1">
      <c r="B9" s="83"/>
      <c r="C9" s="83"/>
      <c r="D9" s="83"/>
      <c r="E9" s="83"/>
      <c r="F9" s="83"/>
      <c r="G9" s="85"/>
      <c r="H9" s="85"/>
      <c r="I9" s="85"/>
      <c r="J9" s="85"/>
      <c r="K9" s="85"/>
    </row>
    <row r="10" spans="2:13">
      <c r="B10" s="83" t="s">
        <v>151</v>
      </c>
      <c r="C10" s="83"/>
      <c r="D10" s="83"/>
      <c r="E10" s="83"/>
      <c r="F10" s="83"/>
      <c r="G10" s="86">
        <f>1/(1+$C$4)^G6</f>
        <v>0.90909090909090906</v>
      </c>
      <c r="H10" s="86">
        <f t="shared" ref="H10:K10" si="0">1/(1+$C$4)^H6</f>
        <v>0.82644628099173545</v>
      </c>
      <c r="I10" s="86">
        <f t="shared" si="0"/>
        <v>0.75131480090157754</v>
      </c>
      <c r="J10" s="86">
        <f t="shared" si="0"/>
        <v>0.68301345536507052</v>
      </c>
      <c r="K10" s="86">
        <f t="shared" si="0"/>
        <v>0.62092132305915493</v>
      </c>
    </row>
    <row r="11" spans="2:13" ht="12">
      <c r="B11" s="50" t="s">
        <v>152</v>
      </c>
      <c r="C11" s="50"/>
      <c r="D11" s="50"/>
      <c r="E11" s="50"/>
      <c r="F11" s="51"/>
      <c r="G11" s="87">
        <f>G8*G10</f>
        <v>12140.743421163857</v>
      </c>
      <c r="H11" s="87">
        <f t="shared" ref="H11:K11" si="1">H8*H10</f>
        <v>7988.496938094363</v>
      </c>
      <c r="I11" s="87">
        <f t="shared" si="1"/>
        <v>7718.9540185587621</v>
      </c>
      <c r="J11" s="87">
        <f t="shared" si="1"/>
        <v>7465.6116539838949</v>
      </c>
      <c r="K11" s="87">
        <f t="shared" si="1"/>
        <v>7227.1480365882262</v>
      </c>
      <c r="L11" s="83"/>
    </row>
    <row r="12" spans="2:13" ht="12">
      <c r="G12" s="42"/>
      <c r="H12" s="13"/>
      <c r="I12" s="13"/>
      <c r="J12" s="13"/>
      <c r="K12" s="13"/>
    </row>
    <row r="13" spans="2:13" ht="12">
      <c r="G13" s="42"/>
      <c r="H13" s="13"/>
      <c r="I13" s="13"/>
      <c r="J13" s="13"/>
      <c r="K13" s="13"/>
    </row>
    <row r="14" spans="2:13" ht="12">
      <c r="B14" s="110" t="s">
        <v>4</v>
      </c>
      <c r="C14" s="110"/>
      <c r="D14" s="110"/>
      <c r="E14" s="110"/>
      <c r="F14" s="110"/>
      <c r="G14" s="110"/>
      <c r="H14" s="110"/>
      <c r="I14" s="110"/>
      <c r="J14" s="110"/>
      <c r="K14" s="110"/>
    </row>
    <row r="15" spans="2:13" ht="12">
      <c r="B15" s="7" t="s">
        <v>153</v>
      </c>
      <c r="C15" s="7">
        <f>SUM(G11:K11)</f>
        <v>42540.954068389103</v>
      </c>
      <c r="D15" s="7" t="s">
        <v>154</v>
      </c>
      <c r="E15" s="109">
        <f>C15/C$18</f>
        <v>0.31585026882379003</v>
      </c>
      <c r="G15" s="42"/>
      <c r="H15" s="13"/>
      <c r="I15" s="13"/>
      <c r="J15" s="13"/>
      <c r="K15" s="13"/>
    </row>
    <row r="16" spans="2:13">
      <c r="B16" s="7" t="s">
        <v>155</v>
      </c>
      <c r="C16" s="7">
        <f>K8*(1+C5)/(C4-C5)</f>
        <v>148402.27585117277</v>
      </c>
      <c r="D16" s="7" t="s">
        <v>154</v>
      </c>
      <c r="E16" s="109"/>
    </row>
    <row r="17" spans="2:11">
      <c r="B17" s="7" t="s">
        <v>156</v>
      </c>
      <c r="C17" s="7">
        <f>C16*K10</f>
        <v>92146.137466499873</v>
      </c>
      <c r="D17" s="7" t="s">
        <v>154</v>
      </c>
      <c r="E17" s="109">
        <f>C17/C$18</f>
        <v>0.68414973117620992</v>
      </c>
    </row>
    <row r="18" spans="2:11" ht="12">
      <c r="B18" s="88" t="s">
        <v>157</v>
      </c>
      <c r="C18" s="88">
        <f>C17+C15</f>
        <v>134687.09153488898</v>
      </c>
      <c r="D18" s="88" t="s">
        <v>154</v>
      </c>
    </row>
    <row r="19" spans="2:11">
      <c r="B19" s="7" t="s">
        <v>158</v>
      </c>
      <c r="C19" s="7">
        <f>-BS!E19</f>
        <v>-51120.799999999996</v>
      </c>
    </row>
    <row r="20" spans="2:11">
      <c r="B20" s="7" t="s">
        <v>159</v>
      </c>
      <c r="C20" s="7">
        <f>BS!E12</f>
        <v>8173.6</v>
      </c>
    </row>
    <row r="21" spans="2:11" ht="12">
      <c r="B21" s="88" t="s">
        <v>160</v>
      </c>
      <c r="C21" s="88">
        <f>SUM(C18:C20)</f>
        <v>91739.891534889</v>
      </c>
      <c r="D21" s="88" t="s">
        <v>154</v>
      </c>
      <c r="G21" s="89">
        <f>C18</f>
        <v>134687.09153488898</v>
      </c>
      <c r="H21" s="90">
        <v>0.09</v>
      </c>
      <c r="I21" s="90">
        <v>0.1</v>
      </c>
      <c r="J21" s="90">
        <v>0.11</v>
      </c>
      <c r="K21" s="90">
        <v>0.12</v>
      </c>
    </row>
    <row r="22" spans="2:11" ht="12">
      <c r="G22" s="91">
        <v>0.01</v>
      </c>
      <c r="H22" s="13">
        <f t="dataTable" ref="H22:K25" dt2D="1" dtr="1" r1="C4" r2="C5"/>
        <v>139135.10683106619</v>
      </c>
      <c r="I22" s="13">
        <v>123645.61536787919</v>
      </c>
      <c r="J22" s="13">
        <v>111261.27230113919</v>
      </c>
      <c r="K22" s="13">
        <v>101134.7997319384</v>
      </c>
    </row>
    <row r="23" spans="2:11" ht="12">
      <c r="G23" s="91">
        <v>0.02</v>
      </c>
      <c r="H23" s="13">
        <v>153859.46447706377</v>
      </c>
      <c r="I23" s="13">
        <v>134687.09153488898</v>
      </c>
      <c r="J23" s="13">
        <v>119780.41615619609</v>
      </c>
      <c r="K23" s="13">
        <v>107859.3864827292</v>
      </c>
    </row>
    <row r="24" spans="2:11" ht="12">
      <c r="G24" s="91">
        <v>0.03</v>
      </c>
      <c r="H24" s="13">
        <v>173491.94133839387</v>
      </c>
      <c r="I24" s="13">
        <v>148883.27517818729</v>
      </c>
      <c r="J24" s="13">
        <v>130429.34597501726</v>
      </c>
      <c r="K24" s="13">
        <v>116078.32584480685</v>
      </c>
    </row>
    <row r="25" spans="2:11" ht="12">
      <c r="G25" s="91">
        <v>0.04</v>
      </c>
      <c r="H25" s="13">
        <v>200977.40894425596</v>
      </c>
      <c r="I25" s="13">
        <v>167811.52003591834</v>
      </c>
      <c r="J25" s="13">
        <v>144120.82717064442</v>
      </c>
      <c r="K25" s="13">
        <v>126352.00004740393</v>
      </c>
    </row>
  </sheetData>
  <mergeCells count="1">
    <mergeCell ref="B14:K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48A0-256A-442A-A144-9C760A02F237}">
  <dimension ref="B1:K6"/>
  <sheetViews>
    <sheetView workbookViewId="0">
      <selection activeCell="B1" sqref="B1"/>
    </sheetView>
  </sheetViews>
  <sheetFormatPr defaultColWidth="9.109375" defaultRowHeight="11.4"/>
  <cols>
    <col min="1" max="1" width="2" style="1" customWidth="1"/>
    <col min="2" max="2" width="24.109375" style="1" bestFit="1" customWidth="1"/>
    <col min="3" max="5" width="9.109375" style="1"/>
    <col min="6" max="6" width="2" style="1" customWidth="1"/>
    <col min="7" max="16384" width="9.109375" style="1"/>
  </cols>
  <sheetData>
    <row r="1" spans="2:11" ht="15.6">
      <c r="B1" s="2" t="s">
        <v>54</v>
      </c>
    </row>
    <row r="3" spans="2:11" ht="24.6" thickBot="1">
      <c r="B3" s="17" t="str">
        <f>'P&amp;L'!B3</f>
        <v>$ in thousands</v>
      </c>
      <c r="C3" s="18" t="str">
        <f>'P&amp;L'!C3</f>
        <v>FY16
Actual</v>
      </c>
      <c r="D3" s="18" t="str">
        <f>'P&amp;L'!D3</f>
        <v>FY17
Actual</v>
      </c>
      <c r="E3" s="18" t="str">
        <f>'P&amp;L'!E3</f>
        <v>FY18
Actual</v>
      </c>
      <c r="F3" s="92"/>
      <c r="G3" s="19" t="str">
        <f>'P&amp;L'!G3</f>
        <v>FY19
Forecast</v>
      </c>
      <c r="H3" s="19" t="str">
        <f>'P&amp;L'!H3</f>
        <v>FY20
Forecast</v>
      </c>
      <c r="I3" s="19" t="str">
        <f>'P&amp;L'!I3</f>
        <v>FY21
Forecast</v>
      </c>
      <c r="J3" s="19" t="str">
        <f>'P&amp;L'!J3</f>
        <v>FY22
Forecast</v>
      </c>
      <c r="K3" s="19" t="str">
        <f>'P&amp;L'!K3</f>
        <v>FY23
Forecast</v>
      </c>
    </row>
    <row r="4" spans="2:11">
      <c r="B4" s="1" t="str">
        <f>'P&amp;L'!B4</f>
        <v>Revenues</v>
      </c>
      <c r="C4" s="93">
        <f>'P&amp;L'!C4</f>
        <v>177203</v>
      </c>
      <c r="D4" s="93">
        <f>'P&amp;L'!D4</f>
        <v>188618</v>
      </c>
      <c r="E4" s="93">
        <f>'P&amp;L'!E4</f>
        <v>208366</v>
      </c>
      <c r="F4" s="93"/>
      <c r="G4" s="94">
        <f>'P&amp;L'!G4</f>
        <v>225035.28000000003</v>
      </c>
      <c r="H4" s="94">
        <f>'P&amp;L'!H4</f>
        <v>243038.10240000003</v>
      </c>
      <c r="I4" s="94">
        <f>'P&amp;L'!I4</f>
        <v>262481.15059200005</v>
      </c>
      <c r="J4" s="94">
        <f>'P&amp;L'!J4</f>
        <v>283479.6426393601</v>
      </c>
      <c r="K4" s="94">
        <f>'P&amp;L'!K4</f>
        <v>306158.01405050891</v>
      </c>
    </row>
    <row r="5" spans="2:11">
      <c r="B5" s="1" t="s">
        <v>14</v>
      </c>
      <c r="C5" s="93">
        <f>'P&amp;L'!C12</f>
        <v>20317.317333333289</v>
      </c>
      <c r="D5" s="93">
        <f>'P&amp;L'!D12</f>
        <v>21213.936000000016</v>
      </c>
      <c r="E5" s="93">
        <f>'P&amp;L'!E12</f>
        <v>29560.873574602992</v>
      </c>
      <c r="F5" s="93"/>
      <c r="G5" s="94">
        <f>'P&amp;L'!G12</f>
        <v>28464.057199999996</v>
      </c>
      <c r="H5" s="94">
        <f>'P&amp;L'!H12</f>
        <v>30534.381775999984</v>
      </c>
      <c r="I5" s="94">
        <f>'P&amp;L'!I12</f>
        <v>32770.332318079993</v>
      </c>
      <c r="J5" s="94">
        <f>'P&amp;L'!J12</f>
        <v>35185.158903526411</v>
      </c>
      <c r="K5" s="94">
        <f>'P&amp;L'!K12</f>
        <v>37793.171615808533</v>
      </c>
    </row>
    <row r="6" spans="2:11">
      <c r="B6" s="1" t="s">
        <v>161</v>
      </c>
      <c r="C6" s="25">
        <f>C5/C4</f>
        <v>0.11465560590584409</v>
      </c>
      <c r="D6" s="25">
        <f>D5/D4</f>
        <v>0.11247036868167416</v>
      </c>
      <c r="E6" s="25">
        <f>E5/E4</f>
        <v>0.14186994795025576</v>
      </c>
      <c r="F6" s="25"/>
      <c r="G6" s="95">
        <f>G5/G4</f>
        <v>0.12648708771353537</v>
      </c>
      <c r="H6" s="95">
        <f>H5/H4</f>
        <v>0.12563619232734752</v>
      </c>
      <c r="I6" s="95">
        <f>I5/I4</f>
        <v>0.1248483262290255</v>
      </c>
      <c r="J6" s="95">
        <f>J5/J4</f>
        <v>0.12411882058243107</v>
      </c>
      <c r="K6" s="95">
        <f>K5/K4</f>
        <v>0.1234433523911399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3EE4-1D39-4397-8012-46C34685928E}">
  <dimension ref="B1:G5"/>
  <sheetViews>
    <sheetView workbookViewId="0">
      <selection activeCell="B29" sqref="B29"/>
    </sheetView>
  </sheetViews>
  <sheetFormatPr defaultColWidth="9.109375" defaultRowHeight="11.4"/>
  <cols>
    <col min="1" max="1" width="2" style="1" customWidth="1"/>
    <col min="2" max="2" width="19.44140625" style="1" bestFit="1" customWidth="1"/>
    <col min="3" max="16384" width="9.109375" style="1"/>
  </cols>
  <sheetData>
    <row r="1" spans="2:7" ht="15.6">
      <c r="B1" s="2" t="s">
        <v>55</v>
      </c>
    </row>
    <row r="3" spans="2:7" ht="24.6" thickBot="1">
      <c r="B3" s="17" t="s">
        <v>47</v>
      </c>
      <c r="C3" s="19" t="s">
        <v>70</v>
      </c>
      <c r="D3" s="19" t="s">
        <v>71</v>
      </c>
      <c r="E3" s="19" t="s">
        <v>72</v>
      </c>
      <c r="F3" s="19" t="s">
        <v>73</v>
      </c>
      <c r="G3" s="19" t="s">
        <v>74</v>
      </c>
    </row>
    <row r="4" spans="2:7">
      <c r="B4" s="7" t="s">
        <v>133</v>
      </c>
      <c r="C4" s="27">
        <f>'DCF valuation'!G8</f>
        <v>13354.817763280244</v>
      </c>
      <c r="D4" s="27">
        <f>'DCF valuation'!H8</f>
        <v>9666.0812950941799</v>
      </c>
      <c r="E4" s="27">
        <f>'DCF valuation'!I8</f>
        <v>10273.927798701716</v>
      </c>
      <c r="F4" s="27">
        <f>'DCF valuation'!J8</f>
        <v>10930.402022597824</v>
      </c>
      <c r="G4" s="27">
        <f>'DCF valuation'!K8</f>
        <v>11639.394184405708</v>
      </c>
    </row>
    <row r="5" spans="2:7">
      <c r="B5" s="7" t="s">
        <v>152</v>
      </c>
      <c r="C5" s="27">
        <f>'DCF valuation'!G11</f>
        <v>12140.743421163857</v>
      </c>
      <c r="D5" s="27">
        <f>'DCF valuation'!H11</f>
        <v>7988.496938094363</v>
      </c>
      <c r="E5" s="27">
        <f>'DCF valuation'!I11</f>
        <v>7718.9540185587621</v>
      </c>
      <c r="F5" s="27">
        <f>'DCF valuation'!J11</f>
        <v>7465.6116539838949</v>
      </c>
      <c r="G5" s="27">
        <f>'DCF valuation'!K11</f>
        <v>7227.1480365882262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E6F34-02B6-42F9-8DF3-51946F3B2F00}">
  <dimension ref="B1:O7"/>
  <sheetViews>
    <sheetView workbookViewId="0">
      <selection activeCell="B1" sqref="B1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15" ht="15.6">
      <c r="B1" s="2" t="s">
        <v>59</v>
      </c>
    </row>
    <row r="2" spans="2:15">
      <c r="K2" s="96">
        <f>C3</f>
        <v>29560.873574602992</v>
      </c>
      <c r="L2" s="96">
        <f>K2</f>
        <v>29560.873574602992</v>
      </c>
      <c r="M2" s="97">
        <f>L2+L3+C5</f>
        <v>28225.753599999989</v>
      </c>
      <c r="N2" s="97">
        <f>M2</f>
        <v>28225.753599999989</v>
      </c>
      <c r="O2" s="98"/>
    </row>
    <row r="3" spans="2:15">
      <c r="B3" s="1" t="s">
        <v>174</v>
      </c>
      <c r="C3" s="1">
        <f>'P&amp;L'!E12</f>
        <v>29560.873574602992</v>
      </c>
      <c r="K3" s="99">
        <v>0</v>
      </c>
      <c r="L3" s="96">
        <f>C4</f>
        <v>16669.280000000028</v>
      </c>
      <c r="M3" s="97">
        <f>-C5</f>
        <v>18004.399974603031</v>
      </c>
      <c r="N3" s="97">
        <f>C6</f>
        <v>238.30360000000655</v>
      </c>
      <c r="O3" s="97">
        <f>N3+N2</f>
        <v>28464.057199999996</v>
      </c>
    </row>
    <row r="4" spans="2:15" ht="22.8">
      <c r="B4" s="1" t="s">
        <v>162</v>
      </c>
      <c r="C4" s="1">
        <f>'P&amp;L'!G4-'P&amp;L'!E4</f>
        <v>16669.280000000028</v>
      </c>
      <c r="K4" s="100" t="str">
        <f>B3</f>
        <v>EBITDA FY18</v>
      </c>
      <c r="L4" s="101" t="str">
        <f>B4</f>
        <v>Delta Revenues</v>
      </c>
      <c r="M4" s="101" t="str">
        <f>B5</f>
        <v>Delta Cogs</v>
      </c>
      <c r="N4" s="101" t="str">
        <f>B6</f>
        <v>Delta Opex</v>
      </c>
      <c r="O4" s="102" t="str">
        <f>B7</f>
        <v>EBITDA FY19</v>
      </c>
    </row>
    <row r="5" spans="2:15">
      <c r="B5" s="1" t="s">
        <v>163</v>
      </c>
      <c r="C5" s="1">
        <f>'P&amp;L'!G8-'P&amp;L'!E8</f>
        <v>-18004.399974603031</v>
      </c>
    </row>
    <row r="6" spans="2:15">
      <c r="B6" s="1" t="s">
        <v>164</v>
      </c>
      <c r="C6" s="1">
        <f>'P&amp;L'!G11-'P&amp;L'!E11</f>
        <v>238.30360000000655</v>
      </c>
    </row>
    <row r="7" spans="2:15">
      <c r="B7" s="1" t="s">
        <v>175</v>
      </c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44FB-0405-4AD4-AF87-3806086A097A}">
  <dimension ref="B1:K11"/>
  <sheetViews>
    <sheetView workbookViewId="0">
      <selection activeCell="N20" sqref="N20"/>
    </sheetView>
  </sheetViews>
  <sheetFormatPr defaultColWidth="9.109375" defaultRowHeight="11.4"/>
  <cols>
    <col min="1" max="1" width="2" style="1" customWidth="1"/>
    <col min="2" max="2" width="18.44140625" style="1" bestFit="1" customWidth="1"/>
    <col min="3" max="5" width="9.109375" style="1"/>
    <col min="6" max="6" width="2" style="1" customWidth="1"/>
    <col min="7" max="16384" width="9.109375" style="1"/>
  </cols>
  <sheetData>
    <row r="1" spans="2:11" ht="15.6">
      <c r="B1" s="2" t="s">
        <v>60</v>
      </c>
    </row>
    <row r="3" spans="2:11" ht="24.6" thickBot="1">
      <c r="B3" s="17" t="str">
        <f>BS!B3</f>
        <v>$ in thousands</v>
      </c>
      <c r="C3" s="18" t="str">
        <f>BS!C3</f>
        <v>31Dec16
Actual</v>
      </c>
      <c r="D3" s="18" t="str">
        <f>BS!D3</f>
        <v>31Dec17
Actual</v>
      </c>
      <c r="E3" s="18" t="str">
        <f>BS!E3</f>
        <v>31Dec18
Actual</v>
      </c>
      <c r="F3" s="92"/>
      <c r="G3" s="19" t="str">
        <f>BS!G3</f>
        <v>31Dec19
Forecast</v>
      </c>
      <c r="H3" s="19" t="str">
        <f>BS!H3</f>
        <v>31Dec20
Forecast</v>
      </c>
      <c r="I3" s="19" t="str">
        <f>BS!I3</f>
        <v>31Dec21
Forecast</v>
      </c>
      <c r="J3" s="19" t="str">
        <f>BS!J3</f>
        <v>31Dec22
Forecast</v>
      </c>
      <c r="K3" s="19" t="str">
        <f>BS!K3</f>
        <v>31Dec23
Forecast</v>
      </c>
    </row>
    <row r="4" spans="2:11">
      <c r="B4" s="11" t="str">
        <f>BS!B8</f>
        <v>Inventory</v>
      </c>
      <c r="C4" s="93">
        <f>BS!C8</f>
        <v>31167.200000000001</v>
      </c>
      <c r="D4" s="93">
        <f>BS!D8</f>
        <v>36396.800000000003</v>
      </c>
      <c r="E4" s="93">
        <f>BS!E8</f>
        <v>46212</v>
      </c>
      <c r="F4" s="93"/>
      <c r="G4" s="94">
        <f>BS!G8</f>
        <v>51493.887128335395</v>
      </c>
      <c r="H4" s="94">
        <f>BS!H8</f>
        <v>55613.398098602222</v>
      </c>
      <c r="I4" s="94">
        <f>BS!I8</f>
        <v>60062.469946490404</v>
      </c>
      <c r="J4" s="94">
        <f>BS!J8</f>
        <v>64867.467542209641</v>
      </c>
      <c r="K4" s="94">
        <f>BS!K8</f>
        <v>70056.864945586407</v>
      </c>
    </row>
    <row r="5" spans="2:11">
      <c r="B5" s="1" t="str">
        <f>BS!B9</f>
        <v>Trade receivable</v>
      </c>
      <c r="C5" s="93">
        <f>BS!C9</f>
        <v>32883.599999999999</v>
      </c>
      <c r="D5" s="93">
        <f>BS!D9</f>
        <v>38556</v>
      </c>
      <c r="E5" s="93">
        <f>BS!E9</f>
        <v>43581.599999999999</v>
      </c>
      <c r="F5" s="93"/>
      <c r="G5" s="94">
        <f>BS!G9</f>
        <v>47068.128000000004</v>
      </c>
      <c r="H5" s="94">
        <f>BS!H9</f>
        <v>50833.578240000003</v>
      </c>
      <c r="I5" s="94">
        <f>BS!I9</f>
        <v>54900.264499199999</v>
      </c>
      <c r="J5" s="94">
        <f>BS!J9</f>
        <v>59292.285659136011</v>
      </c>
      <c r="K5" s="94">
        <f>BS!K9</f>
        <v>64035.66851186689</v>
      </c>
    </row>
    <row r="6" spans="2:11">
      <c r="B6" s="1" t="str">
        <f>BS!B16</f>
        <v>Trade payable</v>
      </c>
      <c r="C6" s="93">
        <f>BS!C16</f>
        <v>15891.2</v>
      </c>
      <c r="D6" s="93">
        <f>BS!D16</f>
        <v>26351.599999999999</v>
      </c>
      <c r="E6" s="93">
        <f>BS!E16</f>
        <v>36189.599999999999</v>
      </c>
      <c r="F6" s="93"/>
      <c r="G6" s="94">
        <f>BS!G16</f>
        <v>40325.958141166935</v>
      </c>
      <c r="H6" s="94">
        <f>BS!H16</f>
        <v>43552.034792460297</v>
      </c>
      <c r="I6" s="94">
        <f>BS!I16</f>
        <v>47036.197575857121</v>
      </c>
      <c r="J6" s="94">
        <f>BS!J16</f>
        <v>50799.09338192569</v>
      </c>
      <c r="K6" s="94">
        <f>BS!K16</f>
        <v>54863.020852479742</v>
      </c>
    </row>
    <row r="7" spans="2:11" ht="12">
      <c r="B7" s="103" t="s">
        <v>60</v>
      </c>
      <c r="C7" s="104">
        <f>C4+C5-C6</f>
        <v>48159.600000000006</v>
      </c>
      <c r="D7" s="104">
        <f>D4+D5-D6</f>
        <v>48601.200000000004</v>
      </c>
      <c r="E7" s="104">
        <f>E4+E5-E6</f>
        <v>53604.000000000007</v>
      </c>
      <c r="F7" s="104"/>
      <c r="G7" s="105">
        <f>G4+G5-G6</f>
        <v>58236.056987168457</v>
      </c>
      <c r="H7" s="105">
        <f>H4+H5-H6</f>
        <v>62894.941546141927</v>
      </c>
      <c r="I7" s="105">
        <f>I4+I5-I6</f>
        <v>67926.53686983329</v>
      </c>
      <c r="J7" s="105">
        <f>J4+J5-J6</f>
        <v>73360.659819419961</v>
      </c>
      <c r="K7" s="105">
        <f>K4+K5-K6</f>
        <v>79229.51260497357</v>
      </c>
    </row>
    <row r="9" spans="2:11">
      <c r="B9" s="11" t="s">
        <v>165</v>
      </c>
      <c r="C9" s="93">
        <f>'BS assumptions'!C6</f>
        <v>66.805279820319072</v>
      </c>
      <c r="D9" s="93">
        <f>'BS assumptions'!D6</f>
        <v>73.588734903349632</v>
      </c>
      <c r="E9" s="93">
        <f>'BS assumptions'!E6</f>
        <v>75.297198199322338</v>
      </c>
      <c r="F9" s="93"/>
      <c r="G9" s="94">
        <f>'BS assumptions'!G6</f>
        <v>75.297198199322338</v>
      </c>
      <c r="H9" s="94">
        <f>'BS assumptions'!H6</f>
        <v>75.297198199322338</v>
      </c>
      <c r="I9" s="94">
        <f>'BS assumptions'!I6</f>
        <v>75.297198199322338</v>
      </c>
      <c r="J9" s="94">
        <f>'BS assumptions'!J6</f>
        <v>75.297198199322338</v>
      </c>
      <c r="K9" s="94">
        <f>'BS assumptions'!K6</f>
        <v>75.297198199322338</v>
      </c>
    </row>
    <row r="10" spans="2:11">
      <c r="B10" s="1" t="s">
        <v>166</v>
      </c>
      <c r="C10" s="93">
        <f>'BS assumptions'!C9</f>
        <v>78.796599890979181</v>
      </c>
      <c r="D10" s="93">
        <f>'BS assumptions'!D9</f>
        <v>87.020385727810066</v>
      </c>
      <c r="E10" s="93">
        <f>'BS assumptions'!E9</f>
        <v>105.61192646702818</v>
      </c>
      <c r="F10" s="93"/>
      <c r="G10" s="94">
        <f>'BS assumptions'!G9</f>
        <v>105.61192646702818</v>
      </c>
      <c r="H10" s="94">
        <f>'BS assumptions'!H9</f>
        <v>105.61192646702818</v>
      </c>
      <c r="I10" s="94">
        <f>'BS assumptions'!I9</f>
        <v>105.61192646702818</v>
      </c>
      <c r="J10" s="94">
        <f>'BS assumptions'!J9</f>
        <v>105.61192646702818</v>
      </c>
      <c r="K10" s="94">
        <f>'BS assumptions'!K9</f>
        <v>105.61192646702818</v>
      </c>
    </row>
    <row r="11" spans="2:11">
      <c r="B11" s="1" t="s">
        <v>167</v>
      </c>
      <c r="C11" s="93">
        <f>'BS assumptions'!C12</f>
        <v>40.175971155173656</v>
      </c>
      <c r="D11" s="93">
        <f>'BS assumptions'!D12</f>
        <v>63.003516697758023</v>
      </c>
      <c r="E11" s="93">
        <f>'BS assumptions'!E12</f>
        <v>82.706945686643365</v>
      </c>
      <c r="F11" s="93"/>
      <c r="G11" s="94">
        <f>'BS assumptions'!G12</f>
        <v>82.706945686643365</v>
      </c>
      <c r="H11" s="94">
        <f>'BS assumptions'!H12</f>
        <v>82.706945686643365</v>
      </c>
      <c r="I11" s="94">
        <f>'BS assumptions'!I12</f>
        <v>82.706945686643365</v>
      </c>
      <c r="J11" s="94">
        <f>'BS assumptions'!J12</f>
        <v>82.706945686643365</v>
      </c>
      <c r="K11" s="94">
        <f>'BS assumptions'!K12</f>
        <v>82.706945686643365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C22ED-7D6E-4C46-A133-F8DBECA419E3}">
  <dimension ref="B1:N7"/>
  <sheetViews>
    <sheetView workbookViewId="0">
      <selection activeCell="C5" sqref="C5"/>
    </sheetView>
  </sheetViews>
  <sheetFormatPr defaultColWidth="9.109375" defaultRowHeight="11.4"/>
  <cols>
    <col min="1" max="1" width="2" style="1" customWidth="1"/>
    <col min="2" max="2" width="19.109375" style="1" bestFit="1" customWidth="1"/>
    <col min="3" max="6" width="9.109375" style="1"/>
    <col min="7" max="7" width="19.109375" style="1" bestFit="1" customWidth="1"/>
    <col min="8" max="12" width="9.109375" style="1"/>
    <col min="13" max="13" width="19.109375" style="1" bestFit="1" customWidth="1"/>
    <col min="14" max="16384" width="9.109375" style="1"/>
  </cols>
  <sheetData>
    <row r="1" spans="2:14" ht="15.6">
      <c r="B1" s="2" t="s">
        <v>61</v>
      </c>
    </row>
    <row r="4" spans="2:14" ht="12.6" thickBot="1">
      <c r="B4" s="106" t="s">
        <v>168</v>
      </c>
      <c r="C4" s="107"/>
      <c r="G4" s="106" t="s">
        <v>169</v>
      </c>
      <c r="H4" s="107"/>
      <c r="M4" s="106" t="s">
        <v>170</v>
      </c>
      <c r="N4" s="107"/>
    </row>
    <row r="5" spans="2:14">
      <c r="B5" s="1" t="s">
        <v>171</v>
      </c>
      <c r="C5" s="36">
        <v>208374.25803815882</v>
      </c>
      <c r="G5" s="1" t="s">
        <v>171</v>
      </c>
      <c r="H5" s="36">
        <v>135602.88371797375</v>
      </c>
      <c r="M5" s="1" t="s">
        <v>171</v>
      </c>
      <c r="N5" s="93">
        <v>101216.94166051672</v>
      </c>
    </row>
    <row r="6" spans="2:14">
      <c r="B6" s="1" t="s">
        <v>172</v>
      </c>
      <c r="C6" s="25">
        <v>0.30085866160702229</v>
      </c>
      <c r="G6" s="1" t="s">
        <v>172</v>
      </c>
      <c r="H6" s="108">
        <v>0.31591165336933186</v>
      </c>
      <c r="M6" s="1" t="s">
        <v>172</v>
      </c>
      <c r="N6" s="25">
        <v>0.33470503116615574</v>
      </c>
    </row>
    <row r="7" spans="2:14">
      <c r="B7" s="1" t="s">
        <v>173</v>
      </c>
      <c r="C7" s="25">
        <v>0.69914133839297776</v>
      </c>
      <c r="G7" s="1" t="s">
        <v>173</v>
      </c>
      <c r="H7" s="108">
        <v>0.6840883466306682</v>
      </c>
      <c r="M7" s="1" t="s">
        <v>173</v>
      </c>
      <c r="N7" s="25">
        <v>0.6652949688338442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40.200000000000003">
      <c r="B11" s="3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>
      <selection activeCell="D5" sqref="D5"/>
    </sheetView>
  </sheetViews>
  <sheetFormatPr defaultColWidth="9.109375" defaultRowHeight="11.4"/>
  <cols>
    <col min="1" max="1" width="2" style="7" customWidth="1"/>
    <col min="2" max="2" width="27.88671875" style="7" bestFit="1" customWidth="1"/>
    <col min="3" max="3" width="9.109375" style="7"/>
    <col min="4" max="6" width="10.5546875" style="7" bestFit="1" customWidth="1"/>
    <col min="7" max="16384" width="9.109375" style="7"/>
  </cols>
  <sheetData>
    <row r="1" spans="2:13" ht="15.6">
      <c r="B1" s="6" t="s">
        <v>1</v>
      </c>
    </row>
    <row r="3" spans="2:13" ht="24">
      <c r="B3" s="8" t="s">
        <v>48</v>
      </c>
      <c r="C3" s="8"/>
      <c r="D3" s="9" t="s">
        <v>86</v>
      </c>
      <c r="E3" s="9" t="s">
        <v>87</v>
      </c>
      <c r="F3" s="9" t="s">
        <v>88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47"/>
      <c r="K5" s="47"/>
      <c r="L5" s="47"/>
      <c r="M5" s="47"/>
    </row>
    <row r="6" spans="2:13" ht="12">
      <c r="B6" s="32" t="s">
        <v>9</v>
      </c>
      <c r="C6" s="32"/>
      <c r="D6" s="33">
        <f>D4+D5</f>
        <v>180723</v>
      </c>
      <c r="E6" s="33">
        <f>E4+E5</f>
        <v>191034</v>
      </c>
      <c r="F6" s="33">
        <f>F4+F5</f>
        <v>210951</v>
      </c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65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 ht="12">
      <c r="B14" s="32" t="s">
        <v>14</v>
      </c>
      <c r="C14" s="32"/>
      <c r="D14" s="33">
        <f>D6+SUM(D8:D12)</f>
        <v>20317.317333333282</v>
      </c>
      <c r="E14" s="33">
        <f>E6+SUM(E8:E12)</f>
        <v>21213.936000000016</v>
      </c>
      <c r="F14" s="33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 ht="12">
      <c r="B18" s="32" t="s">
        <v>16</v>
      </c>
      <c r="C18" s="32"/>
      <c r="D18" s="33">
        <f>D14+D16</f>
        <v>17409.517333333282</v>
      </c>
      <c r="E18" s="33">
        <f>E14+E16</f>
        <v>16564.136000000017</v>
      </c>
      <c r="F18" s="33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 ht="12">
      <c r="B23" s="32" t="s">
        <v>19</v>
      </c>
      <c r="C23" s="32"/>
      <c r="D23" s="33">
        <f>D18+D21+D20</f>
        <v>15825.637333333281</v>
      </c>
      <c r="E23" s="33">
        <f>E18+E21+E20</f>
        <v>13508.936000000018</v>
      </c>
      <c r="F23" s="33">
        <f>F18+F21+F20</f>
        <v>20146.033574603003</v>
      </c>
    </row>
    <row r="24" spans="2:6">
      <c r="D24" s="13"/>
      <c r="E24" s="13"/>
      <c r="F24" s="13"/>
    </row>
    <row r="25" spans="2:6">
      <c r="B25" s="7" t="s">
        <v>20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6" thickBot="1">
      <c r="B27" s="10" t="s">
        <v>21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tabSelected="1" zoomScale="130" zoomScaleNormal="130" workbookViewId="0">
      <selection activeCell="H16" sqref="H16"/>
    </sheetView>
  </sheetViews>
  <sheetFormatPr defaultColWidth="9.109375" defaultRowHeight="11.4"/>
  <cols>
    <col min="1" max="1" width="2" style="7" customWidth="1"/>
    <col min="2" max="2" width="24.109375" style="7" bestFit="1" customWidth="1"/>
    <col min="3" max="3" width="9.109375" style="7"/>
    <col min="4" max="4" width="10.88671875" style="7" customWidth="1"/>
    <col min="5" max="5" width="10.6640625" style="7" customWidth="1"/>
    <col min="6" max="6" width="10" style="7" bestFit="1" customWidth="1"/>
    <col min="7" max="7" width="9.109375" style="7"/>
    <col min="8" max="8" width="22.109375" style="7" bestFit="1" customWidth="1"/>
    <col min="9" max="9" width="9.109375" style="7"/>
    <col min="10" max="10" width="10" style="7" bestFit="1" customWidth="1"/>
    <col min="11" max="11" width="10.5546875" style="7" customWidth="1"/>
    <col min="12" max="12" width="11.109375" style="7" customWidth="1"/>
    <col min="13" max="16384" width="9.109375" style="7"/>
  </cols>
  <sheetData>
    <row r="1" spans="2:12" ht="15.6">
      <c r="B1" s="6" t="s">
        <v>0</v>
      </c>
    </row>
    <row r="3" spans="2:12" ht="24">
      <c r="B3" s="8" t="s">
        <v>48</v>
      </c>
      <c r="C3" s="8"/>
      <c r="D3" s="9" t="s">
        <v>83</v>
      </c>
      <c r="E3" s="9" t="s">
        <v>84</v>
      </c>
      <c r="F3" s="9" t="s">
        <v>85</v>
      </c>
      <c r="H3" s="8" t="s">
        <v>48</v>
      </c>
      <c r="I3" s="8"/>
      <c r="J3" s="9" t="s">
        <v>83</v>
      </c>
      <c r="K3" s="9" t="s">
        <v>84</v>
      </c>
      <c r="L3" s="9" t="s">
        <v>85</v>
      </c>
    </row>
    <row r="4" spans="2:12">
      <c r="B4" s="7" t="s">
        <v>26</v>
      </c>
      <c r="D4" s="13">
        <v>5961.6</v>
      </c>
      <c r="E4" s="13">
        <v>5840</v>
      </c>
      <c r="F4" s="13">
        <v>5650</v>
      </c>
      <c r="G4" s="13"/>
      <c r="H4" s="13" t="s">
        <v>32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37</v>
      </c>
      <c r="D5" s="13">
        <v>45106.400000000001</v>
      </c>
      <c r="E5" s="13">
        <v>49072.4</v>
      </c>
      <c r="F5" s="13">
        <v>56109.2</v>
      </c>
      <c r="G5" s="13"/>
      <c r="H5" s="13" t="s">
        <v>33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46</v>
      </c>
      <c r="D6" s="13">
        <v>8824</v>
      </c>
      <c r="E6" s="13">
        <v>9831</v>
      </c>
      <c r="F6" s="13">
        <v>10323</v>
      </c>
      <c r="G6" s="13"/>
      <c r="H6" s="13" t="s">
        <v>34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35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6" thickBot="1">
      <c r="B8" s="10" t="s">
        <v>49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36</v>
      </c>
      <c r="I8" s="30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29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38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27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39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28</v>
      </c>
      <c r="D12" s="13">
        <v>8841.6</v>
      </c>
      <c r="E12" s="13">
        <v>11359.199999999999</v>
      </c>
      <c r="F12" s="13">
        <v>17602.8</v>
      </c>
      <c r="G12" s="13"/>
      <c r="H12" s="13" t="s">
        <v>45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40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30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6" thickBot="1">
      <c r="B15" s="10" t="s">
        <v>50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41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42</v>
      </c>
      <c r="I16" s="13"/>
      <c r="J16" s="13">
        <v>3890.3999999999996</v>
      </c>
      <c r="K16" s="13">
        <v>5050.8</v>
      </c>
      <c r="L16" s="13">
        <v>440.4</v>
      </c>
    </row>
    <row r="17" spans="2:12" ht="12.6" thickBot="1">
      <c r="D17" s="13"/>
      <c r="E17" s="13"/>
      <c r="F17" s="13"/>
      <c r="G17" s="13"/>
      <c r="H17" s="14" t="s">
        <v>43</v>
      </c>
      <c r="I17" s="30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6" thickBot="1">
      <c r="B19" s="10" t="s">
        <v>31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44</v>
      </c>
      <c r="I19" s="30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2020-08-07T14:09:34Z</dcterms:modified>
</cp:coreProperties>
</file>